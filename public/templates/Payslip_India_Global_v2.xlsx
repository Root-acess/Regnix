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  <sheet xmlns:r="http://schemas.openxmlformats.org/officeDocument/2006/relationships" name="Payslip Guide &amp; Glossary" sheetId="2" state="visible" r:id="rId2"/>
    <sheet xmlns:r="http://schemas.openxmlformats.org/officeDocument/2006/relationships" name="Blank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2D1B4E"/>
      <sz val="14"/>
    </font>
    <font>
      <name val="Arial"/>
      <b val="1"/>
      <color rgb="00FFFFFF"/>
      <sz val="11"/>
    </font>
    <font>
      <name val="Arial"/>
      <b val="1"/>
      <color rgb="002D1B4E"/>
      <sz val="13"/>
    </font>
    <font>
      <name val="Arial"/>
      <i val="1"/>
      <color rgb="00555555"/>
      <sz val="7.5"/>
    </font>
    <font>
      <name val="Arial"/>
      <color rgb="00555555"/>
      <sz val="7.5"/>
    </font>
    <font>
      <name val="Arial"/>
      <i val="1"/>
      <color rgb="00E74C3C"/>
      <sz val="7.5"/>
    </font>
    <font>
      <name val="Arial"/>
      <color rgb="00555555"/>
      <sz val="7"/>
    </font>
    <font>
      <name val="Arial"/>
      <b val="1"/>
      <color rgb="00FFFFFF"/>
      <sz val="10"/>
    </font>
    <font>
      <name val="Arial"/>
      <b val="1"/>
      <color rgb="002980B9"/>
      <sz val="9"/>
    </font>
    <font>
      <name val="Arial"/>
      <b val="1"/>
      <color rgb="00E74C3C"/>
      <sz val="9"/>
    </font>
    <font>
      <name val="Arial"/>
      <b val="1"/>
      <color rgb="002D1B4E"/>
      <sz val="9"/>
    </font>
    <font>
      <name val="Arial"/>
      <b val="1"/>
      <color rgb="00FFFFFF"/>
      <sz val="12"/>
    </font>
    <font>
      <name val="Arial"/>
      <b val="1"/>
      <color rgb="002D1B4E"/>
      <sz val="10"/>
    </font>
    <font>
      <name val="Arial"/>
      <b val="1"/>
      <color rgb="00FFFFFF"/>
      <sz val="9"/>
    </font>
    <font>
      <name val="Arial"/>
      <color rgb="00555555"/>
      <sz val="8.5"/>
    </font>
    <font>
      <name val="Arial"/>
      <b val="1"/>
      <color rgb="001A1A2E"/>
      <sz val="8.5"/>
    </font>
    <font>
      <name val="Arial"/>
      <color rgb="001A1A2E"/>
      <sz val="8.5"/>
    </font>
    <font>
      <name val="Arial"/>
      <b val="1"/>
      <color rgb="007B2FBE"/>
      <sz val="8.5"/>
    </font>
    <font>
      <name val="Arial"/>
      <color rgb="0027AE60"/>
      <sz val="8.5"/>
    </font>
    <font>
      <name val="Arial"/>
      <b val="1"/>
      <color rgb="00FFFFFF"/>
      <sz val="8.5"/>
    </font>
    <font>
      <name val="Arial"/>
      <i val="1"/>
      <color rgb="001A1A2E"/>
      <sz val="8.5"/>
    </font>
    <font>
      <name val="Arial"/>
      <i val="1"/>
      <color rgb="00FFFFFF"/>
      <sz val="7.5"/>
    </font>
    <font>
      <name val="Arial"/>
      <b val="1"/>
      <color rgb="002D1B4E"/>
      <sz val="12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7B2FBE"/>
      </patternFill>
    </fill>
    <fill>
      <patternFill patternType="solid">
        <fgColor rgb="002D1B4E"/>
      </patternFill>
    </fill>
    <fill>
      <patternFill patternType="solid">
        <fgColor rgb="00F5F5F5"/>
      </patternFill>
    </fill>
    <fill>
      <patternFill patternType="solid">
        <fgColor rgb="00F0E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2D1B4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3" fontId="17" fillId="5" borderId="0" applyAlignment="1" pivotButton="0" quotePrefix="0" xfId="0">
      <alignment horizontal="center" vertical="center"/>
    </xf>
    <xf numFmtId="3" fontId="15" fillId="5" borderId="0" applyAlignment="1" pivotButton="0" quotePrefix="0" xfId="0">
      <alignment horizontal="center" vertical="center"/>
    </xf>
    <xf numFmtId="3" fontId="17" fillId="6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3" fontId="14" fillId="3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52"/>
  <sheetViews>
    <sheetView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16" customWidth="1" min="3" max="3"/>
    <col width="2" customWidth="1" min="4" max="4"/>
    <col width="22" customWidth="1" min="5" max="5"/>
    <col width="16" customWidth="1" min="6" max="6"/>
    <col width="2" customWidth="1" min="7" max="7"/>
    <col width="16" customWidth="1" min="8" max="8"/>
    <col width="2" customWidth="1" min="9" max="9"/>
    <col width="16" customWidth="1" min="10" max="10"/>
    <col width="1.5" customWidth="1" min="11" max="11"/>
  </cols>
  <sheetData>
    <row r="1" ht="6" customHeight="1"/>
    <row r="2" ht="6" customHeight="1"/>
    <row r="3" ht="26" customHeight="1">
      <c r="B3" s="1" t="inlineStr">
        <is>
          <t>LEXVON TECHNOLOGIES PVT. LTD.</t>
        </is>
      </c>
      <c r="H3" s="2" t="inlineStr">
        <is>
          <t>REGNIX</t>
        </is>
      </c>
      <c r="I3" s="3" t="inlineStr">
        <is>
          <t>SALARY SLIP</t>
        </is>
      </c>
    </row>
    <row r="4" ht="14" customHeight="1">
      <c r="B4" s="4" t="inlineStr">
        <is>
          <t>ADDRESS: PLOT 12, MIDC INDUSTRIAL AREA, PUNE – 411018, MAHARASHTRA, INDIA</t>
        </is>
      </c>
      <c r="H4" s="5" t="inlineStr">
        <is>
          <t>Serial number: RGX-PS-2026-000145</t>
        </is>
      </c>
    </row>
    <row r="5" ht="13" customHeight="1">
      <c r="B5" s="6" t="inlineStr">
        <is>
          <t>CIN: U72900MH2018PTC312456  |  PAN: AABCL1234C</t>
        </is>
      </c>
      <c r="H5" s="7" t="inlineStr">
        <is>
          <t>Confidential — For Employee Use Only</t>
        </is>
      </c>
    </row>
    <row r="6" ht="13" customHeight="1">
      <c r="B6" s="8" t="inlineStr">
        <is>
          <t>EPF REG: PY/PUN/0012345  |  ESIC REG: 53/00012345/000  |  PT REG: PT/MH/PUN/2018/0001  |  LWF REG: LWF/MH/PUN/2018/001</t>
        </is>
      </c>
    </row>
    <row r="7" ht="4" customHeight="1"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18" customHeight="1">
      <c r="B8" s="10" t="inlineStr">
        <is>
          <t xml:space="preserve">  EMPLOYEE NAME:  RAMESH KUMAR</t>
        </is>
      </c>
    </row>
    <row r="9" ht="20" customHeight="1">
      <c r="B9" s="11" t="inlineStr">
        <is>
          <t>🇺🇸  USD   $ XX,XX</t>
        </is>
      </c>
      <c r="E9" s="12" t="inlineStr">
        <is>
          <t>🇪🇺  EUR   € XX,XX</t>
        </is>
      </c>
      <c r="H9" s="13" t="inlineStr">
        <is>
          <t>🇬🇧  GBP   £ XX,XX</t>
        </is>
      </c>
    </row>
    <row r="10" ht="22" customHeight="1">
      <c r="B10" s="14" t="inlineStr">
        <is>
          <t xml:space="preserve">  PAYROLL MONTH: 02-MAY-2026</t>
        </is>
      </c>
    </row>
    <row r="11" ht="20" customHeight="1">
      <c r="B11" s="15" t="inlineStr">
        <is>
          <t xml:space="preserve">  NET PAY: ₹XX,XXX      GROSS EARNINGS: ₹XX,XXX   –   DEDUCTIONS: ₹XX,XXX  =  Net Pay</t>
        </is>
      </c>
    </row>
    <row r="12" ht="6" customHeight="1"/>
    <row r="13" ht="18" customHeight="1">
      <c r="B13" s="16" t="inlineStr">
        <is>
          <t xml:space="preserve">  EMPLOYEE PROFILE CARD</t>
        </is>
      </c>
      <c r="H13" s="16" t="inlineStr">
        <is>
          <t xml:space="preserve">  LEAVE SUMMARY</t>
        </is>
      </c>
    </row>
    <row r="14" ht="16" customHeight="1">
      <c r="B14" s="17" t="inlineStr">
        <is>
          <t>Employee Name</t>
        </is>
      </c>
      <c r="C14" s="18" t="inlineStr">
        <is>
          <t>Ramesh Kumar</t>
        </is>
      </c>
      <c r="E14" s="17" t="inlineStr">
        <is>
          <t>Employee Code</t>
        </is>
      </c>
      <c r="F14" s="18" t="inlineStr">
        <is>
          <t>LX-EMP-001</t>
        </is>
      </c>
      <c r="H14" s="19" t="inlineStr">
        <is>
          <t>• Earned Leave (EL) / (PL)</t>
        </is>
      </c>
      <c r="J14" s="20" t="inlineStr">
        <is>
          <t>9</t>
        </is>
      </c>
    </row>
    <row r="15" ht="16" customHeight="1">
      <c r="B15" s="21" t="inlineStr">
        <is>
          <t>Designation</t>
        </is>
      </c>
      <c r="C15" s="22" t="inlineStr">
        <is>
          <t>Software Engineer</t>
        </is>
      </c>
      <c r="E15" s="21" t="inlineStr">
        <is>
          <t>Work Location</t>
        </is>
      </c>
      <c r="F15" s="22" t="inlineStr">
        <is>
          <t>BGLR</t>
        </is>
      </c>
      <c r="H15" s="23" t="inlineStr">
        <is>
          <t>• Casual Leave</t>
        </is>
      </c>
      <c r="J15" s="24" t="inlineStr">
        <is>
          <t>4</t>
        </is>
      </c>
    </row>
    <row r="16" ht="16" customHeight="1">
      <c r="B16" s="17" t="inlineStr">
        <is>
          <t>Date of Joining</t>
        </is>
      </c>
      <c r="C16" s="18" t="inlineStr">
        <is>
          <t>01-Apr-2024</t>
        </is>
      </c>
      <c r="E16" s="17" t="inlineStr">
        <is>
          <t>LOP Days</t>
        </is>
      </c>
      <c r="F16" s="18" t="inlineStr">
        <is>
          <t>2</t>
        </is>
      </c>
      <c r="H16" s="19" t="inlineStr">
        <is>
          <t>• Sick Leave</t>
        </is>
      </c>
      <c r="J16" s="20" t="inlineStr">
        <is>
          <t>3</t>
        </is>
      </c>
    </row>
    <row r="17" ht="16" customHeight="1">
      <c r="B17" s="21" t="inlineStr">
        <is>
          <t>PAN Number</t>
        </is>
      </c>
      <c r="C17" s="22" t="inlineStr">
        <is>
          <t>ABCDE1234F</t>
        </is>
      </c>
      <c r="E17" s="21" t="inlineStr">
        <is>
          <t>Cost Centre</t>
        </is>
      </c>
      <c r="F17" s="22" t="inlineStr">
        <is>
          <t>bglr</t>
        </is>
      </c>
      <c r="H17" s="23" t="inlineStr">
        <is>
          <t>• Comp off</t>
        </is>
      </c>
      <c r="J17" s="24" t="inlineStr">
        <is>
          <t>1</t>
        </is>
      </c>
    </row>
    <row r="18" ht="16" customHeight="1">
      <c r="B18" s="17" t="inlineStr">
        <is>
          <t>UAN (EPF)</t>
        </is>
      </c>
      <c r="C18" s="18" t="inlineStr">
        <is>
          <t>101234567890</t>
        </is>
      </c>
      <c r="E18" s="17" t="inlineStr">
        <is>
          <t>Employment Type</t>
        </is>
      </c>
      <c r="F18" s="18" t="inlineStr">
        <is>
          <t>Permanent</t>
        </is>
      </c>
      <c r="H18" s="25" t="inlineStr">
        <is>
          <t xml:space="preserve">  COMPLIANCE STATUS</t>
        </is>
      </c>
    </row>
    <row r="19" ht="15" customHeight="1">
      <c r="B19" s="21" t="inlineStr">
        <is>
          <t>Bank Name</t>
        </is>
      </c>
      <c r="C19" s="22" t="inlineStr">
        <is>
          <t>HDFC Bank</t>
        </is>
      </c>
      <c r="E19" s="21" t="inlineStr">
        <is>
          <t>PF Opt-Out</t>
        </is>
      </c>
      <c r="F19" s="22" t="inlineStr">
        <is>
          <t>Not an EPS member</t>
        </is>
      </c>
      <c r="H19" s="26" t="inlineStr">
        <is>
          <t>✅  PF Filed     ✅  ESIC Verified</t>
        </is>
      </c>
    </row>
    <row r="20" ht="15" customHeight="1">
      <c r="B20" s="17" t="inlineStr">
        <is>
          <t>Pay Days</t>
        </is>
      </c>
      <c r="C20" s="18" t="inlineStr">
        <is>
          <t>26 of 30</t>
        </is>
      </c>
      <c r="E20" s="17" t="inlineStr">
        <is>
          <t>Account Number</t>
        </is>
      </c>
      <c r="F20" s="18" t="inlineStr">
        <is>
          <t>Aundh ESI Dispensary</t>
        </is>
      </c>
      <c r="H20" s="27" t="inlineStr">
        <is>
          <t>✅  Payment and MW Compliant</t>
        </is>
      </c>
    </row>
    <row r="21" ht="15" customHeight="1">
      <c r="B21" s="21" t="inlineStr">
        <is>
          <t>Grade / Level</t>
        </is>
      </c>
      <c r="C21" s="22" t="inlineStr">
        <is>
          <t>L3 – Senior Associate</t>
        </is>
      </c>
      <c r="E21" s="21" t="inlineStr">
        <is>
          <t>Aadhaar (Last 4)</t>
        </is>
      </c>
      <c r="F21" s="22" t="inlineStr">
        <is>
          <t>XXXX XXXX 3000</t>
        </is>
      </c>
      <c r="H21" s="26" t="inlineStr">
        <is>
          <t>✅  PT and LWF Deducted</t>
        </is>
      </c>
    </row>
    <row r="22" ht="16" customHeight="1">
      <c r="B22" s="17" t="inlineStr">
        <is>
          <t>Tax Regime</t>
        </is>
      </c>
      <c r="C22" s="18" t="inlineStr">
        <is>
          <t>New Tax Regime (Sec 115BAC)</t>
        </is>
      </c>
    </row>
    <row r="23" ht="6" customHeight="1"/>
    <row r="24" ht="18" customHeight="1">
      <c r="B24" s="16" t="inlineStr">
        <is>
          <t xml:space="preserve">  EARNINGS</t>
        </is>
      </c>
      <c r="G24" s="16" t="inlineStr">
        <is>
          <t xml:space="preserve">  DEDUCTIONS</t>
        </is>
      </c>
    </row>
    <row r="25" ht="16" customHeight="1">
      <c r="B25" s="28" t="inlineStr">
        <is>
          <t>Component</t>
        </is>
      </c>
      <c r="C25" s="28" t="inlineStr">
        <is>
          <t>Monthly (₹)</t>
        </is>
      </c>
      <c r="E25" s="28" t="inlineStr">
        <is>
          <t>Annual (₹)</t>
        </is>
      </c>
      <c r="G25" s="28" t="inlineStr">
        <is>
          <t>Component</t>
        </is>
      </c>
      <c r="H25" s="28" t="inlineStr">
        <is>
          <t>Monthly (₹)</t>
        </is>
      </c>
      <c r="J25" s="28" t="inlineStr">
        <is>
          <t>Annual (₹)</t>
        </is>
      </c>
    </row>
    <row r="26" ht="15" customHeight="1">
      <c r="B26" s="19" t="inlineStr">
        <is>
          <t>Basic Salary</t>
        </is>
      </c>
      <c r="C26" s="29" t="n">
        <v>0</v>
      </c>
      <c r="E26" s="30">
        <f>C26*12</f>
        <v/>
      </c>
      <c r="G26" s="19" t="inlineStr">
        <is>
          <t>Provident Fund (EE 12%)</t>
        </is>
      </c>
      <c r="H26" s="29" t="n">
        <v>0</v>
      </c>
      <c r="J26" s="30">
        <f>H26*12</f>
        <v/>
      </c>
    </row>
    <row r="27" ht="15" customHeight="1">
      <c r="B27" s="23" t="inlineStr">
        <is>
          <t>Dearness Allowance (DA)</t>
        </is>
      </c>
      <c r="C27" s="31" t="n">
        <v>0</v>
      </c>
      <c r="E27" s="32">
        <f>C27*12</f>
        <v/>
      </c>
      <c r="G27" s="23" t="inlineStr">
        <is>
          <t>ESIC (Employee 0.75%)</t>
        </is>
      </c>
      <c r="H27" s="31" t="n">
        <v>0</v>
      </c>
      <c r="J27" s="32">
        <f>H27*12</f>
        <v/>
      </c>
    </row>
    <row r="28" ht="15" customHeight="1">
      <c r="B28" s="19" t="inlineStr">
        <is>
          <t>House Rent Allowance (HRA)</t>
        </is>
      </c>
      <c r="C28" s="29" t="n">
        <v>0</v>
      </c>
      <c r="E28" s="30">
        <f>C28*12</f>
        <v/>
      </c>
      <c r="G28" s="19" t="inlineStr">
        <is>
          <t>Prof. Tax (PT)</t>
        </is>
      </c>
      <c r="H28" s="29" t="n">
        <v>0</v>
      </c>
      <c r="J28" s="30">
        <f>H28*12</f>
        <v/>
      </c>
    </row>
    <row r="29" ht="15" customHeight="1">
      <c r="B29" s="23" t="inlineStr">
        <is>
          <t>Conveyance Allowance</t>
        </is>
      </c>
      <c r="C29" s="31" t="n">
        <v>0</v>
      </c>
      <c r="E29" s="32">
        <f>C29*12</f>
        <v/>
      </c>
      <c r="G29" s="23" t="inlineStr">
        <is>
          <t>Labour Welfare Fund (LWF)</t>
        </is>
      </c>
      <c r="H29" s="31" t="n">
        <v>0</v>
      </c>
      <c r="J29" s="32">
        <f>H29*12</f>
        <v/>
      </c>
    </row>
    <row r="30" ht="15" customHeight="1">
      <c r="B30" s="19" t="inlineStr">
        <is>
          <t>Medical Allowance</t>
        </is>
      </c>
      <c r="C30" s="29" t="n">
        <v>0</v>
      </c>
      <c r="E30" s="30">
        <f>C30*12</f>
        <v/>
      </c>
      <c r="G30" s="19" t="inlineStr">
        <is>
          <t>TDS / Income Tax</t>
        </is>
      </c>
      <c r="H30" s="29" t="n">
        <v>0</v>
      </c>
      <c r="J30" s="30">
        <f>H30*12</f>
        <v/>
      </c>
    </row>
    <row r="31" ht="15" customHeight="1">
      <c r="B31" s="23" t="inlineStr">
        <is>
          <t>Special Allowance</t>
        </is>
      </c>
      <c r="C31" s="31" t="n">
        <v>0</v>
      </c>
      <c r="E31" s="32">
        <f>C31*12</f>
        <v/>
      </c>
      <c r="G31" s="23" t="inlineStr">
        <is>
          <t>Loan</t>
        </is>
      </c>
      <c r="H31" s="31" t="n">
        <v>0</v>
      </c>
      <c r="J31" s="32">
        <f>H31*12</f>
        <v/>
      </c>
    </row>
    <row r="32" ht="15" customHeight="1">
      <c r="B32" s="19" t="inlineStr">
        <is>
          <t>Leave Travel Allowance</t>
        </is>
      </c>
      <c r="C32" s="29" t="n">
        <v>0</v>
      </c>
      <c r="E32" s="30">
        <f>C32*12</f>
        <v/>
      </c>
      <c r="G32" s="19" t="inlineStr">
        <is>
          <t>Canteen / Food Dedn.</t>
        </is>
      </c>
      <c r="H32" s="29" t="n">
        <v>0</v>
      </c>
      <c r="J32" s="30">
        <f>H32*12</f>
        <v/>
      </c>
    </row>
    <row r="33" ht="15" customHeight="1">
      <c r="B33" s="23" t="inlineStr">
        <is>
          <t>Performance Bonus</t>
        </is>
      </c>
      <c r="C33" s="31" t="n">
        <v>0</v>
      </c>
      <c r="E33" s="32">
        <f>C33*12</f>
        <v/>
      </c>
      <c r="G33" s="23" t="inlineStr">
        <is>
          <t>Advance</t>
        </is>
      </c>
      <c r="H33" s="31" t="n">
        <v>0</v>
      </c>
      <c r="J33" s="32">
        <f>H33*12</f>
        <v/>
      </c>
    </row>
    <row r="34" ht="15" customHeight="1">
      <c r="B34" s="19" t="inlineStr">
        <is>
          <t>Night Shift Allowance</t>
        </is>
      </c>
      <c r="C34" s="29" t="n">
        <v>0</v>
      </c>
      <c r="E34" s="30">
        <f>C34*12</f>
        <v/>
      </c>
      <c r="G34" s="19" t="inlineStr">
        <is>
          <t>Other Deductions</t>
        </is>
      </c>
      <c r="H34" s="29" t="n">
        <v>0</v>
      </c>
      <c r="J34" s="30">
        <f>H34*12</f>
        <v/>
      </c>
    </row>
    <row r="35" ht="15" customHeight="1">
      <c r="B35" s="23" t="inlineStr">
        <is>
          <t>Overtime</t>
        </is>
      </c>
      <c r="C35" s="31" t="n">
        <v>0</v>
      </c>
      <c r="E35" s="32">
        <f>C35*12</f>
        <v/>
      </c>
      <c r="G35" s="23" t="inlineStr">
        <is>
          <t>Statutory Bonus</t>
        </is>
      </c>
      <c r="H35" s="31" t="n">
        <v>0</v>
      </c>
      <c r="J35" s="32">
        <f>H35*12</f>
        <v/>
      </c>
    </row>
    <row r="36" ht="17" customHeight="1">
      <c r="B36" s="16" t="inlineStr">
        <is>
          <t>GROSS EARNINGS</t>
        </is>
      </c>
      <c r="C36" s="33">
        <f>C26+C27+C28+C29+C30+C31+C32+C33+C34+C35</f>
        <v/>
      </c>
      <c r="E36" s="33">
        <f>C36*12</f>
        <v/>
      </c>
      <c r="G36" s="16" t="inlineStr">
        <is>
          <t>TOTAL DEDUCTIONS</t>
        </is>
      </c>
      <c r="H36" s="33">
        <f>H26+H27+H28+H29+H30+H31+H32+H33+H34+H35</f>
        <v/>
      </c>
      <c r="J36" s="33">
        <f>H36*12</f>
        <v/>
      </c>
    </row>
    <row r="37" ht="18" customHeight="1">
      <c r="B37" s="25" t="inlineStr">
        <is>
          <t>NET PAY (Take-Home)</t>
        </is>
      </c>
      <c r="C37" s="34">
        <f>C36-H36</f>
        <v/>
      </c>
      <c r="E37" s="28" t="inlineStr">
        <is>
          <t>Monthly</t>
        </is>
      </c>
    </row>
    <row r="38" ht="15" customHeight="1">
      <c r="B38" s="35" t="inlineStr">
        <is>
          <t>Amount in Words:  Rupees Fifty-Three Thousand Two Hundred Thirty-Six Only  (₹ 53,236)</t>
        </is>
      </c>
    </row>
    <row r="39" ht="6" customHeight="1"/>
    <row r="40" ht="18" customHeight="1">
      <c r="B40" s="16" t="inlineStr">
        <is>
          <t xml:space="preserve">  EMPLOYER CONTRIBUTION  (Not deducted from salary — shown for your reference)</t>
        </is>
      </c>
    </row>
    <row r="41" ht="16" customHeight="1">
      <c r="B41" s="28" t="inlineStr">
        <is>
          <t>Component</t>
        </is>
      </c>
      <c r="H41" s="28" t="inlineStr">
        <is>
          <t>Monthly (₹)</t>
        </is>
      </c>
    </row>
    <row r="42" ht="15" customHeight="1">
      <c r="B42" s="19" t="inlineStr">
        <is>
          <t>Employer EPF Contribution (12%)</t>
        </is>
      </c>
      <c r="H42" s="29" t="n">
        <v>5400</v>
      </c>
    </row>
    <row r="43" ht="15" customHeight="1">
      <c r="B43" s="23" t="inlineStr">
        <is>
          <t>Employer EPS Contribution (8.33%)</t>
        </is>
      </c>
      <c r="H43" s="31" t="n">
        <v>1250</v>
      </c>
    </row>
    <row r="44" ht="15" customHeight="1">
      <c r="B44" s="19" t="inlineStr">
        <is>
          <t>Employer EDLI Contribution (0.5%)</t>
        </is>
      </c>
      <c r="H44" s="29" t="n">
        <v>225</v>
      </c>
    </row>
    <row r="45" ht="15" customHeight="1">
      <c r="B45" s="23" t="inlineStr">
        <is>
          <t>EPF Admin Charges (0.5%)</t>
        </is>
      </c>
      <c r="H45" s="31" t="n">
        <v>225</v>
      </c>
    </row>
    <row r="46" ht="15" customHeight="1">
      <c r="B46" s="19" t="inlineStr">
        <is>
          <t>Employer ESIC Contribution (3.25%)</t>
        </is>
      </c>
      <c r="H46" s="29" t="n">
        <v>1927</v>
      </c>
    </row>
    <row r="47" ht="15" customHeight="1">
      <c r="B47" s="23" t="inlineStr">
        <is>
          <t>Employer LWF Contribution</t>
        </is>
      </c>
      <c r="H47" s="31" t="n">
        <v>40</v>
      </c>
    </row>
    <row r="48" ht="17" customHeight="1">
      <c r="B48" s="16" t="inlineStr">
        <is>
          <t>TOTAL EMPLOYER CONTRIBUTIONS</t>
        </is>
      </c>
      <c r="H48" s="33">
        <f>H42+H43+H44+H45+H46+H47</f>
        <v/>
      </c>
    </row>
    <row r="49" ht="15" customHeight="1">
      <c r="B49" s="36" t="inlineStr">
        <is>
          <t>Total CTC Monthly ≈  ₹68,367  |  Annual CTC ≈  ₹820,404</t>
        </is>
      </c>
    </row>
    <row r="50" ht="6" customHeight="1"/>
    <row r="51" ht="14" customHeight="1">
      <c r="B51" s="37" t="inlineStr">
        <is>
          <t>This is a computer-generated payslip and is valid without a physical signature.</t>
        </is>
      </c>
    </row>
    <row r="52" ht="14" customHeight="1">
      <c r="B52" s="38" t="inlineStr">
        <is>
          <t>CONFIDENTIAL — This payslip is issued to the named employee only. Unauthorized disclosure is prohibited.  |  Regnix by Lexvon Pvt. Ltd.  |  www.thelexvon.com</t>
        </is>
      </c>
    </row>
  </sheetData>
  <mergeCells count="92">
    <mergeCell ref="H35:I35"/>
    <mergeCell ref="C15:D15"/>
    <mergeCell ref="H3"/>
    <mergeCell ref="B3:F3"/>
    <mergeCell ref="B20"/>
    <mergeCell ref="H9:I9"/>
    <mergeCell ref="F14"/>
    <mergeCell ref="B38:J38"/>
    <mergeCell ref="H19:J19"/>
    <mergeCell ref="B42:F42"/>
    <mergeCell ref="B40:J40"/>
    <mergeCell ref="B49:J49"/>
    <mergeCell ref="B44:F44"/>
    <mergeCell ref="B51:J51"/>
    <mergeCell ref="B5:G5"/>
    <mergeCell ref="H5:J5"/>
    <mergeCell ref="C27:D27"/>
    <mergeCell ref="F21"/>
    <mergeCell ref="C36:D36"/>
    <mergeCell ref="C17:D17"/>
    <mergeCell ref="B17"/>
    <mergeCell ref="C19:D19"/>
    <mergeCell ref="H15:I15"/>
    <mergeCell ref="C28:D28"/>
    <mergeCell ref="B19"/>
    <mergeCell ref="H21:J21"/>
    <mergeCell ref="B11:J11"/>
    <mergeCell ref="C30:D30"/>
    <mergeCell ref="C14:D14"/>
    <mergeCell ref="H25:I25"/>
    <mergeCell ref="H34:I34"/>
    <mergeCell ref="B43:F43"/>
    <mergeCell ref="H36:I36"/>
    <mergeCell ref="B22"/>
    <mergeCell ref="B6:J6"/>
    <mergeCell ref="H17:I17"/>
    <mergeCell ref="B21"/>
    <mergeCell ref="F15"/>
    <mergeCell ref="H28:I28"/>
    <mergeCell ref="B14"/>
    <mergeCell ref="H20:J20"/>
    <mergeCell ref="H4:J4"/>
    <mergeCell ref="G24:J24"/>
    <mergeCell ref="B45:F45"/>
    <mergeCell ref="H14:I14"/>
    <mergeCell ref="C18:D18"/>
    <mergeCell ref="B52:J52"/>
    <mergeCell ref="B4:F4"/>
    <mergeCell ref="C34:D34"/>
    <mergeCell ref="B47:F47"/>
    <mergeCell ref="B46:F46"/>
    <mergeCell ref="B24:E24"/>
    <mergeCell ref="H31:I31"/>
    <mergeCell ref="C20:D20"/>
    <mergeCell ref="C29:D29"/>
    <mergeCell ref="B48:F48"/>
    <mergeCell ref="H13:J13"/>
    <mergeCell ref="B25"/>
    <mergeCell ref="F19"/>
    <mergeCell ref="C22:D22"/>
    <mergeCell ref="F16"/>
    <mergeCell ref="C31:D31"/>
    <mergeCell ref="B13:F13"/>
    <mergeCell ref="C21:D21"/>
    <mergeCell ref="H18:J18"/>
    <mergeCell ref="H16:I16"/>
    <mergeCell ref="F20"/>
    <mergeCell ref="B9:C9"/>
    <mergeCell ref="C32:D32"/>
    <mergeCell ref="H30:I30"/>
    <mergeCell ref="H29:I29"/>
    <mergeCell ref="C33:D33"/>
    <mergeCell ref="B15"/>
    <mergeCell ref="B8:J8"/>
    <mergeCell ref="C26:D26"/>
    <mergeCell ref="C35:D35"/>
    <mergeCell ref="C16:D16"/>
    <mergeCell ref="B10:J10"/>
    <mergeCell ref="C25:D25"/>
    <mergeCell ref="B16"/>
    <mergeCell ref="E9:F9"/>
    <mergeCell ref="I3:J3"/>
    <mergeCell ref="B18"/>
    <mergeCell ref="H32:I32"/>
    <mergeCell ref="F18"/>
    <mergeCell ref="H27:I27"/>
    <mergeCell ref="F17"/>
    <mergeCell ref="H33:I33"/>
    <mergeCell ref="C37:D37"/>
    <mergeCell ref="B37"/>
    <mergeCell ref="B41:F41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PAYSLIP GUIDE — GLOSSARY OF TERMS &amp; STATUTORY REFERENCES</t>
        </is>
      </c>
    </row>
    <row r="3">
      <c r="B3" s="40" t="inlineStr">
        <is>
          <t>India-Standard | Compliant with: EPF Act 1952 · ESI Act 1948 · Bonus Act 1965 · Gratuity Act 1972 · Minimum Wages Act 1948 · Payment of Wages Act 1936 · IT Act 1961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PAYSLIP — BLANK TEMPLATE  |  [ENTER COMPANY NAME]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2026-05-18T10:03:05Z</dcterms:created>
  <dcterms:modified xmlns:dcterms="http://purl.org/dc/terms/" xmlns:xsi="http://www.w3.org/2001/XMLSchema-instance" xsi:type="dcterms:W3CDTF">2026-05-18T10:03:05Z</dcterms:modified>
</cp:coreProperties>
</file>