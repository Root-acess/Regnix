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slip" sheetId="1" state="visible" r:id="rId3"/>
    <sheet name="Payslip Guide &amp; Glossary" sheetId="2" state="visible" r:id="rId4"/>
    <sheet name="Blank Templ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<sst xmlns="http://schemas.openxmlformats.org/spreadsheetml/2006/main" count="376" uniqueCount="312">
  <si>
    <t xml:space="preserve">LEXVON TECHNOLOGIES PVT. LTD.</t>
  </si>
  <si>
    <t xml:space="preserve">SALARY SLIP</t>
  </si>
  <si>
    <t xml:space="preserve">Confidential — For Employee Use Only</t>
  </si>
  <si>
    <t xml:space="preserve">Plot 12, MIDC Industrial Area, Pune – 411018, Maharashtra, India</t>
  </si>
  <si>
    <t xml:space="preserve">CIN: U72900MH2018PTC312456  |  PAN: AABCL1234C</t>
  </si>
  <si>
    <t xml:space="preserve">hr@lexvon.com  |  +91-20-1234-5678</t>
  </si>
  <si>
    <t xml:space="preserve">EPF Reg: PY/PUN/0012345  |  ESIC Reg: 53/00012345/000  |  PT Reg: PT/MH/PUN/2018/0001  |  LWF Reg: LWF/MH/PUN/2018/001</t>
  </si>
  <si>
    <t xml:space="preserve">PAY PERIOD:</t>
  </si>
  <si>
    <t xml:space="preserve">April 2024  (01-Apr-2024 to 30-Apr-2024)</t>
  </si>
  <si>
    <t xml:space="preserve">Pay Date:  30-Apr-2024</t>
  </si>
  <si>
    <t xml:space="preserve">  EMPLOYEE INFORMATION</t>
  </si>
  <si>
    <t xml:space="preserve">Employee Name</t>
  </si>
  <si>
    <t xml:space="preserve">Ramesh Kumar</t>
  </si>
  <si>
    <t xml:space="preserve">Employee Code</t>
  </si>
  <si>
    <t xml:space="preserve">LX-EMP-001</t>
  </si>
  <si>
    <t xml:space="preserve">Designation</t>
  </si>
  <si>
    <t xml:space="preserve">Software Engineer</t>
  </si>
  <si>
    <t xml:space="preserve">Department</t>
  </si>
  <si>
    <t xml:space="preserve">Engineering</t>
  </si>
  <si>
    <t xml:space="preserve">Date of Joining</t>
  </si>
  <si>
    <t xml:space="preserve">01-Apr-2024</t>
  </si>
  <si>
    <t xml:space="preserve">Work Location</t>
  </si>
  <si>
    <t xml:space="preserve">Pune, Maharashtra</t>
  </si>
  <si>
    <t xml:space="preserve">PAN Number</t>
  </si>
  <si>
    <t xml:space="preserve">ABCDE1234F</t>
  </si>
  <si>
    <t xml:space="preserve">Aadhaar (Last 4)</t>
  </si>
  <si>
    <t xml:space="preserve">XXXX XXXX 3000</t>
  </si>
  <si>
    <t xml:space="preserve">UAN (EPF)</t>
  </si>
  <si>
    <t xml:space="preserve">101234567890</t>
  </si>
  <si>
    <t xml:space="preserve">ESIC IP Number</t>
  </si>
  <si>
    <t xml:space="preserve">1234567890</t>
  </si>
  <si>
    <t xml:space="preserve">Bank Name</t>
  </si>
  <si>
    <t xml:space="preserve">HDFC Bank</t>
  </si>
  <si>
    <t xml:space="preserve">Account Number</t>
  </si>
  <si>
    <t xml:space="preserve">XXXXXXXX0001</t>
  </si>
  <si>
    <t xml:space="preserve">IFSC Code</t>
  </si>
  <si>
    <t xml:space="preserve">HDFC0001234</t>
  </si>
  <si>
    <t xml:space="preserve">Mode of Payment</t>
  </si>
  <si>
    <t xml:space="preserve">Bank Transfer (NEFT)</t>
  </si>
  <si>
    <t xml:space="preserve">Pay Days</t>
  </si>
  <si>
    <t xml:space="preserve">26 of 30</t>
  </si>
  <si>
    <t xml:space="preserve">LOP Days</t>
  </si>
  <si>
    <t xml:space="preserve">0</t>
  </si>
  <si>
    <t xml:space="preserve">EPF Disp. (ESIC)</t>
  </si>
  <si>
    <t xml:space="preserve">Aundh ESI Dispensary</t>
  </si>
  <si>
    <t xml:space="preserve">Cost Centre</t>
  </si>
  <si>
    <t xml:space="preserve">ENG-PUN-001</t>
  </si>
  <si>
    <t xml:space="preserve">Grade / Level</t>
  </si>
  <si>
    <t xml:space="preserve">L3 – Senior Associate</t>
  </si>
  <si>
    <t xml:space="preserve">Employment Type</t>
  </si>
  <si>
    <t xml:space="preserve">Regular / Permanent</t>
  </si>
  <si>
    <t xml:space="preserve">Tax Regime</t>
  </si>
  <si>
    <t xml:space="preserve">New Tax Regime (Sec 115BAC)</t>
  </si>
  <si>
    <t xml:space="preserve">PF Opt-Out</t>
  </si>
  <si>
    <t xml:space="preserve">No – Contributing to EPF</t>
  </si>
  <si>
    <t xml:space="preserve">  EARNINGS</t>
  </si>
  <si>
    <t xml:space="preserve">  DEDUCTIONS</t>
  </si>
  <si>
    <t xml:space="preserve">Component</t>
  </si>
  <si>
    <t xml:space="preserve">Monthly (₹)</t>
  </si>
  <si>
    <t xml:space="preserve">Annual (₹)</t>
  </si>
  <si>
    <t xml:space="preserve">Basic Salary</t>
  </si>
  <si>
    <t xml:space="preserve">Provident Fund (EE 12%)</t>
  </si>
  <si>
    <t xml:space="preserve">Dearness Allowance (DA)</t>
  </si>
  <si>
    <t xml:space="preserve">ESIC (Employee 0.75%)</t>
  </si>
  <si>
    <t xml:space="preserve">House Rent Allowance (HRA)</t>
  </si>
  <si>
    <t xml:space="preserve">Prof. Tax (PT)</t>
  </si>
  <si>
    <t xml:space="preserve">Conveyance Allowance</t>
  </si>
  <si>
    <t xml:space="preserve">Labour Welfare Fund (LWF)</t>
  </si>
  <si>
    <t xml:space="preserve">Medical Allowance</t>
  </si>
  <si>
    <t xml:space="preserve">TDS / Income Tax</t>
  </si>
  <si>
    <t xml:space="preserve">Special Allowance</t>
  </si>
  <si>
    <t xml:space="preserve">Loan Recovery</t>
  </si>
  <si>
    <t xml:space="preserve">Leave Travel Allowance</t>
  </si>
  <si>
    <t xml:space="preserve">Canteen / Food Dedn.</t>
  </si>
  <si>
    <t xml:space="preserve">Performance Bonus</t>
  </si>
  <si>
    <t xml:space="preserve">Advance Recovery</t>
  </si>
  <si>
    <t xml:space="preserve">Night Shift Allowance</t>
  </si>
  <si>
    <t xml:space="preserve">Other Deductions</t>
  </si>
  <si>
    <t xml:space="preserve">GROSS EARNINGS</t>
  </si>
  <si>
    <t xml:space="preserve">TOTAL DEDUCTIONS</t>
  </si>
  <si>
    <t xml:space="preserve">  NET PAY (Take-Home)</t>
  </si>
  <si>
    <t xml:space="preserve">Monthly</t>
  </si>
  <si>
    <t xml:space="preserve">Amount in Words:  Rupees Fifty-Three Thousand Two Hundred Thirty-Six Only  (₹ 53,236)</t>
  </si>
  <si>
    <t xml:space="preserve">  EMPLOYER CONTRIBUTIONS  (Not deducted from salary — shown for your reference)</t>
  </si>
  <si>
    <t xml:space="preserve">Notes</t>
  </si>
  <si>
    <t xml:space="preserve">Employer EPF Contribution (12%)</t>
  </si>
  <si>
    <t xml:space="preserve">Towards employee's PF corpus</t>
  </si>
  <si>
    <t xml:space="preserve">Employer EPS Contribution (8.33%)</t>
  </si>
  <si>
    <t xml:space="preserve">Pension Scheme — max ₹1,250/month</t>
  </si>
  <si>
    <t xml:space="preserve">Employer EDLI Contribution (0.5%)</t>
  </si>
  <si>
    <t xml:space="preserve">Employee Deposit Linked Insurance</t>
  </si>
  <si>
    <t xml:space="preserve">EPF Admin Charges (0.5%)</t>
  </si>
  <si>
    <t xml:space="preserve">Administrative charges to EPFO</t>
  </si>
  <si>
    <t xml:space="preserve">Employer ESIC Contribution (3.25%)</t>
  </si>
  <si>
    <t xml:space="preserve">Employee State Insurance (Employer share)</t>
  </si>
  <si>
    <t xml:space="preserve">Employer LWF Contribution</t>
  </si>
  <si>
    <t xml:space="preserve">Labour Welfare Fund (Employer share)</t>
  </si>
  <si>
    <t xml:space="preserve">TOTAL EMPLOYER CONTRIBUTIONS</t>
  </si>
  <si>
    <t xml:space="preserve">Total CTC Monthly ≈  ₹68,367  |  Annual CTC ≈  ₹820,404</t>
  </si>
  <si>
    <t xml:space="preserve">  LEAVE BALANCE SUMMARY</t>
  </si>
  <si>
    <t xml:space="preserve">Leave Type</t>
  </si>
  <si>
    <t xml:space="preserve">Entitlement</t>
  </si>
  <si>
    <t xml:space="preserve">Opening Bal</t>
  </si>
  <si>
    <t xml:space="preserve">Availed</t>
  </si>
  <si>
    <t xml:space="preserve">Closing Bal</t>
  </si>
  <si>
    <t xml:space="preserve">Lapsed</t>
  </si>
  <si>
    <t xml:space="preserve">Remarks</t>
  </si>
  <si>
    <t xml:space="preserve">Earned Leave (EL)</t>
  </si>
  <si>
    <t xml:space="preserve">Carry forward up to 45 days</t>
  </si>
  <si>
    <t xml:space="preserve">Casual Leave (CL)</t>
  </si>
  <si>
    <t xml:space="preserve">Non-encashable; lapses on 31-Mar</t>
  </si>
  <si>
    <t xml:space="preserve">Sick Leave (SL)</t>
  </si>
  <si>
    <t xml:space="preserve">Medical certificate required &gt; 3 days</t>
  </si>
  <si>
    <t xml:space="preserve">Maternity Leave (ML)</t>
  </si>
  <si>
    <t xml:space="preserve">MBA 1961 — 26 weeks (if applicable)</t>
  </si>
  <si>
    <t xml:space="preserve">Leave Without Pay (LWP)</t>
  </si>
  <si>
    <t xml:space="preserve">LWP impacts PF &amp; gratuity computation</t>
  </si>
  <si>
    <t xml:space="preserve">  YEAR-TO-DATE (YTD) SUMMARY  —  April 2024 (Month 1 of FY 2024-25)</t>
  </si>
  <si>
    <t xml:space="preserve">This Month (₹)</t>
  </si>
  <si>
    <t xml:space="preserve">YTD (₹)</t>
  </si>
  <si>
    <t xml:space="preserve">Gross Earnings</t>
  </si>
  <si>
    <t xml:space="preserve">Total Deductions</t>
  </si>
  <si>
    <t xml:space="preserve">EPF Employee</t>
  </si>
  <si>
    <t xml:space="preserve">EPF Employer</t>
  </si>
  <si>
    <t xml:space="preserve">ESIC Employee</t>
  </si>
  <si>
    <t xml:space="preserve">ESIC Employer</t>
  </si>
  <si>
    <t xml:space="preserve">TDS Deducted</t>
  </si>
  <si>
    <t xml:space="preserve">Net Pay</t>
  </si>
  <si>
    <t xml:space="preserve">  STATUTORY COMPLIANCE INFORMATION</t>
  </si>
  <si>
    <t xml:space="preserve">Act / Regulation</t>
  </si>
  <si>
    <t xml:space="preserve">Rate / Basis</t>
  </si>
  <si>
    <t xml:space="preserve">Status</t>
  </si>
  <si>
    <t xml:space="preserve">EPF &amp; MP Act, 1952</t>
  </si>
  <si>
    <t xml:space="preserve">12% EE + 12% ER on Basic</t>
  </si>
  <si>
    <t xml:space="preserve">Due by 15th of following month</t>
  </si>
  <si>
    <t xml:space="preserve">✅ Filed</t>
  </si>
  <si>
    <t xml:space="preserve">ESI Act, 1948</t>
  </si>
  <si>
    <t xml:space="preserve">0.75% EE + 3.25% ER on Gross</t>
  </si>
  <si>
    <t xml:space="preserve">Due by 21st of following month</t>
  </si>
  <si>
    <t xml:space="preserve">Payment of Wages Act, 1936</t>
  </si>
  <si>
    <t xml:space="preserve">Wages paid by 7th of following month</t>
  </si>
  <si>
    <t xml:space="preserve">30-Apr-2024 — Bank Transfer</t>
  </si>
  <si>
    <t xml:space="preserve">✅ Paid</t>
  </si>
  <si>
    <t xml:space="preserve">Minimum Wages Act, 1948</t>
  </si>
  <si>
    <t xml:space="preserve">Zone A – Semi-Skilled: ₹15,000</t>
  </si>
  <si>
    <t xml:space="preserve">Actual: ₹45,000 — Compliant</t>
  </si>
  <si>
    <t xml:space="preserve">✅ Compliant</t>
  </si>
  <si>
    <t xml:space="preserve">Profession Tax (MH)</t>
  </si>
  <si>
    <t xml:space="preserve">₹200/month (slab ₹10,001–₹15,000+)</t>
  </si>
  <si>
    <t xml:space="preserve">Due last day of month</t>
  </si>
  <si>
    <t xml:space="preserve">✅ Deducted</t>
  </si>
  <si>
    <t xml:space="preserve">Labour Welfare Fund (MH)</t>
  </si>
  <si>
    <t xml:space="preserve">EE ₹20 + ER ₹40 = ₹60 total</t>
  </si>
  <si>
    <t xml:space="preserve">Half-yearly: Jun &amp; Dec</t>
  </si>
  <si>
    <t xml:space="preserve">Income Tax / TDS</t>
  </si>
  <si>
    <t xml:space="preserve">TDS nil (within exemption limit)</t>
  </si>
  <si>
    <t xml:space="preserve">✅ Computed</t>
  </si>
  <si>
    <t xml:space="preserve">Gratuity (Accruing)</t>
  </si>
  <si>
    <t xml:space="preserve">₹45,000×15/26 = ₹25,961/yr</t>
  </si>
  <si>
    <t xml:space="preserve">Payable after 5 years service</t>
  </si>
  <si>
    <t xml:space="preserve">ℹ Accruing</t>
  </si>
  <si>
    <t xml:space="preserve">Bonus Act, 1965</t>
  </si>
  <si>
    <t xml:space="preserve">8.33% of Basic+DA (min bonus)</t>
  </si>
  <si>
    <t xml:space="preserve">Payable in November/March</t>
  </si>
  <si>
    <t xml:space="preserve">ℹ Due: Mar'25</t>
  </si>
  <si>
    <t xml:space="preserve">  DECLARATIONS &amp; SIGNATURES</t>
  </si>
  <si>
    <t xml:space="preserve">This is a computer-generated payslip and is valid without a physical signature. However, if required, authorized signatures are provided below.</t>
  </si>
  <si>
    <t xml:space="preserve">Employee Signature / Thumb Impression</t>
  </si>
  <si>
    <t xml:space="preserve">Authorised Signatory</t>
  </si>
  <si>
    <t xml:space="preserve">Name: Ramesh Kumar</t>
  </si>
  <si>
    <t xml:space="preserve">Date: ___________</t>
  </si>
  <si>
    <t xml:space="preserve">Name: Ms. Divya Nair (HR Manager)</t>
  </si>
  <si>
    <t xml:space="preserve">Date: 30-Apr-2024</t>
  </si>
  <si>
    <t xml:space="preserve">Note for Global Reference: 1 USD ≈ ₹83.50  |  1 EUR ≈ ₹90.20  |  1 GBP ≈ ₹106.50  (as of Apr 2024, for reference only — not for forex transactions)</t>
  </si>
  <si>
    <t xml:space="preserve">CONFIDENTIAL — This payslip is issued to the named employee only. Unauthorized disclosure is prohibited.  |  Lexvon Technologies Pvt. Ltd.  |  www.lexvon.com</t>
  </si>
  <si>
    <t xml:space="preserve">PAYSLIP GUIDE — GLOSSARY OF TERMS &amp; STATUTORY REFERENCES</t>
  </si>
  <si>
    <t xml:space="preserve">India-Standard | Compliant with: EPF Act 1952 · ESI Act 1948 · Bonus Act 1965 · Gratuity Act 1972 · Minimum Wages Act 1948 · Payment of Wages Act 1936 · IT Act 1961</t>
  </si>
  <si>
    <t xml:space="preserve">  EARNINGS COMPONENTS</t>
  </si>
  <si>
    <t xml:space="preserve">Term / Component</t>
  </si>
  <si>
    <t xml:space="preserve">Explanation</t>
  </si>
  <si>
    <t xml:space="preserve">Statutory Reference</t>
  </si>
  <si>
    <t xml:space="preserve">Core salary component. Typically 40–50% of CTC. Basis for PF, Gratuity, and Bonus calculations.</t>
  </si>
  <si>
    <t xml:space="preserve">Mandatory disclosure — Payment of Wages Act, 1936</t>
  </si>
  <si>
    <t xml:space="preserve">Cost-of-living adjustment. Fully taxable. Used in EPF and Gratuity computation.</t>
  </si>
  <si>
    <t xml:space="preserve">Minimum Wages Act requires DA to be separately disclosed</t>
  </si>
  <si>
    <t xml:space="preserve">HRA (House Rent Allow.)</t>
  </si>
  <si>
    <t xml:space="preserve">Exempt from tax u/s 10(13A): min of [Actual HRA | Rent paid – 10% Basic | 50% Basic (metro) or 40% Basic (non-metro)]</t>
  </si>
  <si>
    <t xml:space="preserve">IT Act 1961, Section 10(13A) + Rule 2A</t>
  </si>
  <si>
    <t xml:space="preserve">Exempt up to ₹1,600/month for actual travel to workplace.</t>
  </si>
  <si>
    <t xml:space="preserve">IT Act 1961, Section 10(14)</t>
  </si>
  <si>
    <t xml:space="preserve">Taxable. (Note: Medical reimbursement up to ₹15,000/yr was tax-free until FY 2018-19; replaced by ₹50,000 standard deduction).</t>
  </si>
  <si>
    <t xml:space="preserve">IT Act 1961, Section 17(2)</t>
  </si>
  <si>
    <t xml:space="preserve">Fully taxable. Used to structure CTC without adding to PF/Gratuity base.</t>
  </si>
  <si>
    <t xml:space="preserve">No specific statutory cap</t>
  </si>
  <si>
    <t xml:space="preserve">LTA (Leave Travel Allow.)</t>
  </si>
  <si>
    <t xml:space="preserve">Exempt for travel within India for self &amp; family — 2 journeys in a block of 4 years.</t>
  </si>
  <si>
    <t xml:space="preserve">IT Act 1961, Section 10(5)</t>
  </si>
  <si>
    <t xml:space="preserve">Taxable in the year of receipt. Not part of Bonus Act calculation.</t>
  </si>
  <si>
    <t xml:space="preserve">Payment of Bonus Act, 1965 governs statutory bonus separately</t>
  </si>
  <si>
    <t xml:space="preserve">EPF — Employee 12%</t>
  </si>
  <si>
    <t xml:space="preserve">Employee contributes 12% of Basic+DA. Entire goes to PF account. Exempt from tax u/s 80C (up to ₹1.5 lakh/yr).</t>
  </si>
  <si>
    <t xml:space="preserve">EPF &amp; MP Act, 1952 — Mandatory for establishments with 20+ employees</t>
  </si>
  <si>
    <t xml:space="preserve">Employer EPF 12%</t>
  </si>
  <si>
    <t xml:space="preserve">Split: 8.33% to EPS (Pension Scheme, max ₹1,250/month) + 3.67% to EPF account.</t>
  </si>
  <si>
    <t xml:space="preserve">EDLI (0.5%)</t>
  </si>
  <si>
    <t xml:space="preserve">Employer pays 0.5% of Basic (max ₹75) for life insurance cover of ₹7 lakh for employee's family.</t>
  </si>
  <si>
    <t xml:space="preserve">EPF &amp; MP Act, 1952 — EDLI Scheme 1976</t>
  </si>
  <si>
    <t xml:space="preserve">ESIC — Employee 0.75%</t>
  </si>
  <si>
    <t xml:space="preserve">Applicable if Gross ≤ ₹21,000/month. Provides medical, maternity, disability &amp; dependant benefits.</t>
  </si>
  <si>
    <t xml:space="preserve">ESI Act, 1948 — Mandatory in notified areas</t>
  </si>
  <si>
    <t xml:space="preserve">Profession Tax (PT)</t>
  </si>
  <si>
    <t xml:space="preserve">State-level tax. Maharashtra slab: ₹200/month for earnings &gt; ₹10,000. Deductible from income tax.</t>
  </si>
  <si>
    <t xml:space="preserve">Maharashtra State Tax on Professions, Trades, Callings &amp; Employments Act, 1975</t>
  </si>
  <si>
    <t xml:space="preserve">LWF — Employee</t>
  </si>
  <si>
    <t xml:space="preserve">Maharashtra: EE ₹6 (June), ₹12 (Dec) [varies by state]. Purpose: worker welfare schemes.</t>
  </si>
  <si>
    <t xml:space="preserve">Labour Welfare Fund Act (State-specific)</t>
  </si>
  <si>
    <t xml:space="preserve">Tax deducted at source on salary. Employee can choose Old Regime (with deductions) or New Regime (lower slabs, no deductions).</t>
  </si>
  <si>
    <t xml:space="preserve">IT Act, 1961 — Section 192</t>
  </si>
  <si>
    <t xml:space="preserve">  KEY CONCEPTS</t>
  </si>
  <si>
    <t xml:space="preserve">CTC (Cost to Company)</t>
  </si>
  <si>
    <t xml:space="preserve">Total annual cost to employer = Gross Salary + All Employer Contributions. Not the take-home.</t>
  </si>
  <si>
    <t xml:space="preserve">No statutory definition — HR industry standard</t>
  </si>
  <si>
    <t xml:space="preserve">Gross Salary</t>
  </si>
  <si>
    <t xml:space="preserve">Sum of all earning components before deductions. CTC minus Employer contributions.</t>
  </si>
  <si>
    <t xml:space="preserve">Payment of Wages Act disclosure requirement</t>
  </si>
  <si>
    <t xml:space="preserve">Net Salary (Take-Home)</t>
  </si>
  <si>
    <t xml:space="preserve">Gross Salary minus all employee-side deductions.</t>
  </si>
  <si>
    <t xml:space="preserve">LOP (Loss of Pay)</t>
  </si>
  <si>
    <t xml:space="preserve">Deduction for unauthorized absence. Proportional: LOP Dedn = (Gross / Calendar Days) × LOP Days.</t>
  </si>
  <si>
    <t xml:space="preserve">Factories Act, 1948 / Standing Orders</t>
  </si>
  <si>
    <t xml:space="preserve">UAN (Universal Account No.)</t>
  </si>
  <si>
    <t xml:space="preserve">Permanent 12-digit PF member number. Portable across employers. Check balance: www.epfindia.gov.in</t>
  </si>
  <si>
    <t xml:space="preserve">EPFO — Universal Account Number</t>
  </si>
  <si>
    <t xml:space="preserve">Insurance Policy number under ESIC. Used to access medical benefits at ESIC hospitals.</t>
  </si>
  <si>
    <t xml:space="preserve">Form 16</t>
  </si>
  <si>
    <t xml:space="preserve">Annual TDS certificate issued by employer by 15-Jun. Required for ITR filing.</t>
  </si>
  <si>
    <t xml:space="preserve">IT Act, 1961 — Section 203</t>
  </si>
  <si>
    <t xml:space="preserve">Gratuity</t>
  </si>
  <si>
    <t xml:space="preserve">Payable on resignation/retirement after 5 years: (Basic + DA) × 15/26 × Years of Service. Tax-free up to ₹20 lakh.</t>
  </si>
  <si>
    <t xml:space="preserve">Payment of Gratuity Act, 1972</t>
  </si>
  <si>
    <t xml:space="preserve">Bonus</t>
  </si>
  <si>
    <t xml:space="preserve">Min 8.33% of (Basic+DA), max 20%. Payable within 8 months of financial year end.</t>
  </si>
  <si>
    <t xml:space="preserve">Payment of Bonus Act, 1965</t>
  </si>
  <si>
    <t xml:space="preserve">Maternity Leave</t>
  </si>
  <si>
    <t xml:space="preserve">26 weeks paid maternity leave for first 2 children; 12 weeks thereafter.</t>
  </si>
  <si>
    <t xml:space="preserve">Maternity Benefit Act, 1961 (amended 2017)</t>
  </si>
  <si>
    <t xml:space="preserve">Equal Pay</t>
  </si>
  <si>
    <t xml:space="preserve">Equal remuneration for same work regardless of gender.</t>
  </si>
  <si>
    <t xml:space="preserve">Equal Remuneration Act, 1976</t>
  </si>
  <si>
    <t xml:space="preserve">  GLOBAL EQUIVALENTS</t>
  </si>
  <si>
    <t xml:space="preserve">EPF ↔ 401(k) / Pension</t>
  </si>
  <si>
    <t xml:space="preserve">India EPF = US 401(k) or UK Workplace Pension. Both are mandatory defined-contribution retirement savings.</t>
  </si>
  <si>
    <t xml:space="preserve">USA: IRC §401(k) | UK: Pensions Act 2008 | AUS: Superannuation Guarantee</t>
  </si>
  <si>
    <t xml:space="preserve">ESIC ↔ National Insurance</t>
  </si>
  <si>
    <t xml:space="preserve">ESIC provides health &amp; social security similar to UK National Insurance or Germany's Sozialversicherung.</t>
  </si>
  <si>
    <t xml:space="preserve">UK: National Insurance Act | GER: SGB V | FR: Sécurité Sociale</t>
  </si>
  <si>
    <t xml:space="preserve">TDS ↔ PAYE</t>
  </si>
  <si>
    <t xml:space="preserve">TDS (Tax Deducted at Source) = UK PAYE (Pay As You Earn) = US Federal Income Tax withholding.</t>
  </si>
  <si>
    <t xml:space="preserve">IT Act 1961 Sec 192 | UK: ITEPA 2003 | USA: IRC §3402</t>
  </si>
  <si>
    <t xml:space="preserve">Gratuity ↔ Severance Pay</t>
  </si>
  <si>
    <t xml:space="preserve">Gratuity = defined statutory severance. Similar to UAE end-of-service gratuity or EU severance pay.</t>
  </si>
  <si>
    <t xml:space="preserve">Gratuity Act 1972 | UAE: Labour Law Art. 51 | EU: Directive 98/59</t>
  </si>
  <si>
    <t xml:space="preserve">Currency Reference (Apr 2024)</t>
  </si>
  <si>
    <t xml:space="preserve">₹1 = 0.012 USD | ₹1 = 0.011 EUR | ₹1 = 0.0094 GBP | ₹1 = 0.0089 CHF</t>
  </si>
  <si>
    <t xml:space="preserve">Reference rates only — not for forex or legal purposes</t>
  </si>
  <si>
    <t xml:space="preserve">PAYSLIP — BLANK TEMPLATE  |  [ENTER COMPANY NAME]</t>
  </si>
  <si>
    <t xml:space="preserve">  PAY PERIOD &amp; DATES</t>
  </si>
  <si>
    <t xml:space="preserve">Pay Month / Period</t>
  </si>
  <si>
    <t xml:space="preserve">[Month YYYY]</t>
  </si>
  <si>
    <t xml:space="preserve">Pay Date</t>
  </si>
  <si>
    <t xml:space="preserve">[DD-Mon-YYYY]</t>
  </si>
  <si>
    <t xml:space="preserve">From Date</t>
  </si>
  <si>
    <t xml:space="preserve">To Date</t>
  </si>
  <si>
    <t xml:space="preserve">[Full Name]</t>
  </si>
  <si>
    <t xml:space="preserve">[EMP-XXX]</t>
  </si>
  <si>
    <t xml:space="preserve">[Job Title]</t>
  </si>
  <si>
    <t xml:space="preserve">[Dept]</t>
  </si>
  <si>
    <t xml:space="preserve">[City, State]</t>
  </si>
  <si>
    <t xml:space="preserve">[XXXXXXXXXX]</t>
  </si>
  <si>
    <t xml:space="preserve">[XXXX]</t>
  </si>
  <si>
    <t xml:space="preserve">[12-digit UAN]</t>
  </si>
  <si>
    <t xml:space="preserve">ESIC IP No.</t>
  </si>
  <si>
    <t xml:space="preserve">[ESIC IP]</t>
  </si>
  <si>
    <t xml:space="preserve">[Bank]</t>
  </si>
  <si>
    <t xml:space="preserve">Account No.</t>
  </si>
  <si>
    <t xml:space="preserve">[XXXXXXXX]</t>
  </si>
  <si>
    <t xml:space="preserve">[XXXXXXXXXXX]</t>
  </si>
  <si>
    <t xml:space="preserve">[Bank Transfer / Cheque / Cash]</t>
  </si>
  <si>
    <t xml:space="preserve">[XX of XX]</t>
  </si>
  <si>
    <t xml:space="preserve">[0]</t>
  </si>
  <si>
    <t xml:space="preserve">EPF (Employee 12%)</t>
  </si>
  <si>
    <t xml:space="preserve">DA / Cost of Living Allow.</t>
  </si>
  <si>
    <t xml:space="preserve">HRA</t>
  </si>
  <si>
    <t xml:space="preserve">Profession Tax</t>
  </si>
  <si>
    <t xml:space="preserve">Conveyance Allow.</t>
  </si>
  <si>
    <t xml:space="preserve">Labour Welfare Fund</t>
  </si>
  <si>
    <t xml:space="preserve">Medical Allow.</t>
  </si>
  <si>
    <t xml:space="preserve">Special Allow.</t>
  </si>
  <si>
    <t xml:space="preserve">LTA</t>
  </si>
  <si>
    <t xml:space="preserve">Canteen Deduction</t>
  </si>
  <si>
    <t xml:space="preserve">Night Shift Allow.</t>
  </si>
  <si>
    <t xml:space="preserve">Other Earnings</t>
  </si>
  <si>
    <t xml:space="preserve">Amount in Words:  [Enter amount in words]</t>
  </si>
  <si>
    <t xml:space="preserve">  INSTRUCTIONS FOR USE</t>
  </si>
  <si>
    <t xml:space="preserve">1. Fill in the yellow/shaded cells with the actual values for each employee.</t>
  </si>
  <si>
    <t xml:space="preserve">2. The GROSS EARNINGS and NET PAY cells contain auto-calculating formulas — do not overwrite them.</t>
  </si>
  <si>
    <t xml:space="preserve">3. For LOP deduction: (Gross Salary ÷ Total Calendar Days in Month) × LOP Days.</t>
  </si>
  <si>
    <t xml:space="preserve">4. EPF is 12% of Basic+DA. ESIC is 0.75% of Gross (applicable only if Gross ≤ ₹21,000/month).</t>
  </si>
  <si>
    <t xml:space="preserve">5. Profession Tax varies by state. Maharashtra: ₹200/month for earnings &gt; ₹10,000/month.</t>
  </si>
  <si>
    <t xml:space="preserve">6. Duplicate this sheet (right-click → Move or Copy) to create payslips for multiple employees.</t>
  </si>
  <si>
    <t xml:space="preserve">7. For global use: replace ₹ with your currency symbol and adjust statutory deductions per local law.</t>
  </si>
  <si>
    <t xml:space="preserve">8. This template complies with: Payment of Wages Act 1936 · Minimum Wages Act 1948 · EPF Act 1952 · ESI Act 1948.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</si>
</sst>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3"/>
      <color rgb="FFC9972B"/>
      <name val="Calibri"/>
      <family val="0"/>
      <charset val="1"/>
    </font>
    <font>
      <i val="true"/>
      <sz val="8"/>
      <color rgb="FFAACCE0"/>
      <name val="Calibri"/>
      <family val="0"/>
      <charset val="1"/>
    </font>
    <font>
      <sz val="8"/>
      <color rgb="FFBDD7EE"/>
      <name val="Calibri"/>
      <family val="0"/>
      <charset val="1"/>
    </font>
    <font>
      <sz val="7.5"/>
      <color rgb="FFAACCE0"/>
      <name val="Calibri"/>
      <family val="0"/>
      <charset val="1"/>
    </font>
    <font>
      <b val="true"/>
      <sz val="10"/>
      <color rgb="FF0D2137"/>
      <name val="Calibri"/>
      <family val="0"/>
      <charset val="1"/>
    </font>
    <font>
      <b val="true"/>
      <sz val="10"/>
      <color rgb="FF0F6B74"/>
      <name val="Calibri"/>
      <family val="0"/>
      <charset val="1"/>
    </font>
    <font>
      <sz val="9"/>
      <color rgb="FF4A4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F4E79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4"/>
      <color rgb="FFC9972B"/>
      <name val="Calibri"/>
      <family val="0"/>
      <charset val="1"/>
    </font>
    <font>
      <sz val="9"/>
      <color rgb="FFAACCE0"/>
      <name val="Calibri"/>
      <family val="0"/>
      <charset val="1"/>
    </font>
    <font>
      <i val="true"/>
      <sz val="9"/>
      <color rgb="FF1F4E7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8"/>
      <color rgb="FF000000"/>
      <name val="Calibri"/>
      <family val="0"/>
      <charset val="1"/>
    </font>
    <font>
      <i val="true"/>
      <sz val="8"/>
      <color rgb="FF4A4A4A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8"/>
      <color rgb="FF1E7145"/>
      <name val="Calibri"/>
      <family val="0"/>
      <charset val="1"/>
    </font>
    <font>
      <sz val="8"/>
      <color rgb="FF0F6B74"/>
      <name val="Calibri"/>
      <family val="0"/>
      <charset val="1"/>
    </font>
    <font>
      <b val="true"/>
      <sz val="8"/>
      <color rgb="FF1F4E79"/>
      <name val="Calibri"/>
      <family val="0"/>
      <charset val="1"/>
    </font>
    <font>
      <sz val="8"/>
      <color rgb="FF4A4A4A"/>
      <name val="Calibri"/>
      <family val="0"/>
      <charset val="1"/>
    </font>
    <font>
      <i val="true"/>
      <sz val="7.5"/>
      <color rgb="FF4A4A4A"/>
      <name val="Calibri"/>
      <family val="0"/>
      <charset val="1"/>
    </font>
    <font>
      <i val="true"/>
      <sz val="7.5"/>
      <color rgb="FF777777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8"/>
      <color rgb="FFBDD7EE"/>
      <name val="Calibri"/>
      <family val="0"/>
      <charset val="1"/>
    </font>
    <font>
      <sz val="9"/>
      <color rgb="FF0D2137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8"/>
      <color rgb="FFAACCE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C9972B"/>
        <bgColor rgb="FFFF8080"/>
      </patternFill>
    </fill>
    <fill>
      <patternFill patternType="solid">
        <fgColor rgb="FFE0F4F5"/>
        <bgColor rgb="FFEBF5FB"/>
      </patternFill>
    </fill>
    <fill>
      <patternFill patternType="solid">
        <fgColor rgb="FF0F6B74"/>
        <bgColor rgb="FF1E7145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BF5FB"/>
        <bgColor rgb="FFE0F4F5"/>
      </patternFill>
    </fill>
    <fill>
      <patternFill patternType="solid">
        <fgColor rgb="FF1F4E79"/>
        <bgColor rgb="FF0F6B74"/>
      </patternFill>
    </fill>
    <fill>
      <patternFill patternType="solid">
        <fgColor rgb="FFE2EFDA"/>
        <bgColor rgb="FFE0F4F5"/>
      </patternFill>
    </fill>
    <fill>
      <patternFill patternType="solid">
        <fgColor rgb="FFFFFBEA"/>
        <bgColor rgb="FFF7F9F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0F6B74"/>
      </left>
      <right/>
      <top style="thin">
        <color rgb="FF0F6B74"/>
      </top>
      <bottom style="thin">
        <color rgb="FF0F6B74"/>
      </bottom>
      <diagonal/>
    </border>
    <border diagonalUp="false" diagonalDown="false"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  <border diagonalUp="false" diagonalDown="false">
      <left style="thin">
        <color rgb="FFB0B8C1"/>
      </left>
      <right/>
      <top style="thin">
        <color rgb="FFB0B8C1"/>
      </top>
      <bottom style="thin">
        <color rgb="FFB0B8C1"/>
      </bottom>
      <diagonal/>
    </border>
    <border diagonalUp="false" diagonalDown="false">
      <left style="medium">
        <color rgb="FF0D2137"/>
      </left>
      <right/>
      <top style="medium">
        <color rgb="FF0D2137"/>
      </top>
      <bottom style="medium">
        <color rgb="FF0D2137"/>
      </bottom>
      <diagonal/>
    </border>
    <border diagonalUp="false" diagonalDown="false">
      <left style="medium">
        <color rgb="FF0D2137"/>
      </left>
      <right style="medium">
        <color rgb="FF0D2137"/>
      </right>
      <top style="medium">
        <color rgb="FF0D2137"/>
      </top>
      <bottom style="medium">
        <color rgb="FF0D2137"/>
      </bottom>
      <diagonal/>
    </border>
    <border diagonalUp="false" diagonalDown="false">
      <left/>
      <right/>
      <top/>
      <bottom style="dashed">
        <color rgb="FFC997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11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4"/>
      <rgbColor rgb="FFB0B8C1"/>
      <rgbColor rgb="FF777777"/>
      <rgbColor rgb="FF9999FF"/>
      <rgbColor rgb="FF993366"/>
      <rgbColor rgb="FFFFFBEA"/>
      <rgbColor rgb="FFE0F4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1E7145"/>
      <rgbColor rgb="FF0000FF"/>
      <rgbColor rgb="FF00CCFF"/>
      <rgbColor rgb="FFEBF5FB"/>
      <rgbColor rgb="FFE2EFDA"/>
      <rgbColor rgb="FFF7F9FC"/>
      <rgbColor rgb="FFAACCE0"/>
      <rgbColor rgb="FFFF99CC"/>
      <rgbColor rgb="FFCC99FF"/>
      <rgbColor rgb="FFFFCC99"/>
      <rgbColor rgb="FF3366FF"/>
      <rgbColor rgb="FF33CCCC"/>
      <rgbColor rgb="FF99CC00"/>
      <rgbColor rgb="FFFFCC00"/>
      <rgbColor rgb="FFC9972B"/>
      <rgbColor rgb="FFFF6600"/>
      <rgbColor rgb="FF666699"/>
      <rgbColor rgb="FF969696"/>
      <rgbColor rgb="FF0D2137"/>
      <rgbColor rgb="FF339966"/>
      <rgbColor rgb="FF003300"/>
      <rgbColor rgb="FF333300"/>
      <rgbColor rgb="FF993300"/>
      <rgbColor rgb="FF993366"/>
      <rgbColor rgb="FF1F4E7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4"/>
    <col collapsed="false" customWidth="true" hidden="false" outlineLevel="0" max="7" min="6" style="0" width="22"/>
    <col collapsed="false" customWidth="true" hidden="false" outlineLevel="0" max="8" min="8" style="0" width="18"/>
    <col collapsed="false" customWidth="true" hidden="false" outlineLevel="0" max="9" min="9" style="0" width="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3" customFormat="false" ht="18" hidden="false" customHeight="true" outlineLevel="0" collapsed="false">
      <c r="A3" s="1"/>
      <c r="B3" s="2" t="s">
        <v>0</v>
      </c>
      <c r="C3" s="2"/>
      <c r="D3" s="2"/>
      <c r="E3" s="2"/>
      <c r="F3" s="3" t="s">
        <v>1</v>
      </c>
      <c r="G3" s="3"/>
      <c r="H3" s="3"/>
      <c r="I3" s="1"/>
    </row>
    <row r="4" customFormat="false" ht="18" hidden="false" customHeight="true" outlineLevel="0" collapsed="false">
      <c r="A4" s="1"/>
      <c r="B4" s="2"/>
      <c r="C4" s="2"/>
      <c r="D4" s="2"/>
      <c r="E4" s="2"/>
      <c r="F4" s="4" t="s">
        <v>2</v>
      </c>
      <c r="G4" s="4"/>
      <c r="H4" s="4"/>
      <c r="I4" s="1"/>
    </row>
    <row r="5" customFormat="false" ht="18" hidden="false" customHeight="true" outlineLevel="0" collapsed="false">
      <c r="A5" s="1"/>
      <c r="B5" s="5" t="s">
        <v>3</v>
      </c>
      <c r="C5" s="5"/>
      <c r="D5" s="5"/>
      <c r="E5" s="5"/>
      <c r="F5" s="5"/>
      <c r="G5" s="5"/>
      <c r="H5" s="5"/>
      <c r="I5" s="1"/>
    </row>
    <row r="6" customFormat="false" ht="18" hidden="false" customHeight="true" outlineLevel="0" collapsed="false">
      <c r="A6" s="1"/>
      <c r="B6" s="5" t="s">
        <v>4</v>
      </c>
      <c r="C6" s="5"/>
      <c r="D6" s="5"/>
      <c r="E6" s="5"/>
      <c r="F6" s="6" t="s">
        <v>5</v>
      </c>
      <c r="G6" s="6"/>
      <c r="H6" s="6"/>
      <c r="I6" s="1"/>
    </row>
    <row r="7" customFormat="false" ht="18" hidden="false" customHeight="true" outlineLevel="0" collapsed="false">
      <c r="A7" s="1"/>
      <c r="B7" s="7" t="s">
        <v>6</v>
      </c>
      <c r="C7" s="7"/>
      <c r="D7" s="7"/>
      <c r="E7" s="7"/>
      <c r="F7" s="7"/>
      <c r="G7" s="7"/>
      <c r="H7" s="7"/>
      <c r="I7" s="1"/>
    </row>
    <row r="8" customFormat="false" ht="4.5" hidden="false" customHeight="true" outlineLevel="0" collapsed="false">
      <c r="A8" s="1"/>
      <c r="B8" s="8"/>
      <c r="C8" s="8"/>
      <c r="D8" s="8"/>
      <c r="E8" s="8"/>
      <c r="F8" s="8"/>
      <c r="G8" s="8"/>
      <c r="H8" s="8"/>
      <c r="I8" s="1"/>
    </row>
    <row r="9" customFormat="false" ht="21.75" hidden="false" customHeight="true" outlineLevel="0" collapsed="false">
      <c r="A9" s="1"/>
      <c r="B9" s="9" t="s">
        <v>7</v>
      </c>
      <c r="C9" s="9"/>
      <c r="D9" s="9"/>
      <c r="E9" s="10" t="s">
        <v>8</v>
      </c>
      <c r="F9" s="10"/>
      <c r="G9" s="11" t="s">
        <v>9</v>
      </c>
      <c r="H9" s="11"/>
      <c r="I9" s="1"/>
    </row>
    <row r="10" customFormat="false" ht="6" hidden="false" customHeight="true" outlineLevel="0" collapsed="false">
      <c r="A10" s="1"/>
      <c r="I10" s="1"/>
    </row>
    <row r="11" customFormat="false" ht="18" hidden="false" customHeight="true" outlineLevel="0" collapsed="false">
      <c r="A11" s="1"/>
      <c r="B11" s="12" t="s">
        <v>10</v>
      </c>
      <c r="C11" s="12"/>
      <c r="D11" s="12"/>
      <c r="E11" s="12"/>
      <c r="F11" s="12"/>
      <c r="G11" s="12"/>
      <c r="H11" s="12"/>
      <c r="I11" s="1"/>
    </row>
    <row r="12" customFormat="false" ht="15.75" hidden="false" customHeight="true" outlineLevel="0" collapsed="false">
      <c r="A12" s="1"/>
      <c r="B12" s="13" t="s">
        <v>11</v>
      </c>
      <c r="C12" s="14" t="s">
        <v>12</v>
      </c>
      <c r="D12" s="14"/>
      <c r="E12" s="15"/>
      <c r="F12" s="13" t="s">
        <v>13</v>
      </c>
      <c r="G12" s="14" t="s">
        <v>14</v>
      </c>
      <c r="H12" s="14"/>
      <c r="I12" s="1"/>
    </row>
    <row r="13" customFormat="false" ht="15.75" hidden="false" customHeight="true" outlineLevel="0" collapsed="false">
      <c r="A13" s="1"/>
      <c r="B13" s="16" t="s">
        <v>15</v>
      </c>
      <c r="C13" s="17" t="s">
        <v>16</v>
      </c>
      <c r="D13" s="17"/>
      <c r="E13" s="15"/>
      <c r="F13" s="16" t="s">
        <v>17</v>
      </c>
      <c r="G13" s="17" t="s">
        <v>18</v>
      </c>
      <c r="H13" s="17"/>
      <c r="I13" s="1"/>
    </row>
    <row r="14" customFormat="false" ht="15.75" hidden="false" customHeight="true" outlineLevel="0" collapsed="false">
      <c r="A14" s="1"/>
      <c r="B14" s="13" t="s">
        <v>19</v>
      </c>
      <c r="C14" s="14" t="s">
        <v>20</v>
      </c>
      <c r="D14" s="14"/>
      <c r="E14" s="15"/>
      <c r="F14" s="13" t="s">
        <v>21</v>
      </c>
      <c r="G14" s="14" t="s">
        <v>22</v>
      </c>
      <c r="H14" s="14"/>
      <c r="I14" s="1"/>
    </row>
    <row r="15" customFormat="false" ht="15.75" hidden="false" customHeight="true" outlineLevel="0" collapsed="false">
      <c r="A15" s="1"/>
      <c r="B15" s="16" t="s">
        <v>23</v>
      </c>
      <c r="C15" s="17" t="s">
        <v>24</v>
      </c>
      <c r="D15" s="17"/>
      <c r="E15" s="15"/>
      <c r="F15" s="16" t="s">
        <v>25</v>
      </c>
      <c r="G15" s="17" t="s">
        <v>26</v>
      </c>
      <c r="H15" s="17"/>
      <c r="I15" s="1"/>
    </row>
    <row r="16" customFormat="false" ht="15.75" hidden="false" customHeight="true" outlineLevel="0" collapsed="false">
      <c r="A16" s="1"/>
      <c r="B16" s="13" t="s">
        <v>27</v>
      </c>
      <c r="C16" s="14" t="s">
        <v>28</v>
      </c>
      <c r="D16" s="14"/>
      <c r="E16" s="15"/>
      <c r="F16" s="13" t="s">
        <v>29</v>
      </c>
      <c r="G16" s="14" t="s">
        <v>30</v>
      </c>
      <c r="H16" s="14"/>
      <c r="I16" s="1"/>
    </row>
    <row r="17" customFormat="false" ht="15.75" hidden="false" customHeight="true" outlineLevel="0" collapsed="false">
      <c r="A17" s="1"/>
      <c r="B17" s="16" t="s">
        <v>31</v>
      </c>
      <c r="C17" s="17" t="s">
        <v>32</v>
      </c>
      <c r="D17" s="17"/>
      <c r="E17" s="15"/>
      <c r="F17" s="16" t="s">
        <v>33</v>
      </c>
      <c r="G17" s="17" t="s">
        <v>34</v>
      </c>
      <c r="H17" s="17"/>
      <c r="I17" s="1"/>
    </row>
    <row r="18" customFormat="false" ht="15.75" hidden="false" customHeight="true" outlineLevel="0" collapsed="false">
      <c r="A18" s="1"/>
      <c r="B18" s="13" t="s">
        <v>35</v>
      </c>
      <c r="C18" s="14" t="s">
        <v>36</v>
      </c>
      <c r="D18" s="14"/>
      <c r="E18" s="15"/>
      <c r="F18" s="13" t="s">
        <v>37</v>
      </c>
      <c r="G18" s="14" t="s">
        <v>38</v>
      </c>
      <c r="H18" s="14"/>
      <c r="I18" s="1"/>
    </row>
    <row r="19" customFormat="false" ht="15.75" hidden="false" customHeight="true" outlineLevel="0" collapsed="false">
      <c r="A19" s="1"/>
      <c r="B19" s="16" t="s">
        <v>39</v>
      </c>
      <c r="C19" s="17" t="s">
        <v>40</v>
      </c>
      <c r="D19" s="17"/>
      <c r="E19" s="15"/>
      <c r="F19" s="16" t="s">
        <v>41</v>
      </c>
      <c r="G19" s="17" t="s">
        <v>42</v>
      </c>
      <c r="H19" s="17"/>
      <c r="I19" s="1"/>
    </row>
    <row r="20" customFormat="false" ht="15.75" hidden="false" customHeight="true" outlineLevel="0" collapsed="false">
      <c r="A20" s="1"/>
      <c r="B20" s="13" t="s">
        <v>43</v>
      </c>
      <c r="C20" s="14" t="s">
        <v>44</v>
      </c>
      <c r="D20" s="14"/>
      <c r="E20" s="15"/>
      <c r="F20" s="13" t="s">
        <v>45</v>
      </c>
      <c r="G20" s="14" t="s">
        <v>46</v>
      </c>
      <c r="H20" s="14"/>
      <c r="I20" s="1"/>
    </row>
    <row r="21" customFormat="false" ht="15.75" hidden="false" customHeight="true" outlineLevel="0" collapsed="false">
      <c r="A21" s="1"/>
      <c r="B21" s="16" t="s">
        <v>47</v>
      </c>
      <c r="C21" s="17" t="s">
        <v>48</v>
      </c>
      <c r="D21" s="17"/>
      <c r="E21" s="15"/>
      <c r="F21" s="16" t="s">
        <v>49</v>
      </c>
      <c r="G21" s="17" t="s">
        <v>50</v>
      </c>
      <c r="H21" s="17"/>
      <c r="I21" s="1"/>
    </row>
    <row r="22" customFormat="false" ht="15.75" hidden="false" customHeight="true" outlineLevel="0" collapsed="false">
      <c r="A22" s="1"/>
      <c r="B22" s="13" t="s">
        <v>51</v>
      </c>
      <c r="C22" s="14" t="s">
        <v>52</v>
      </c>
      <c r="D22" s="14"/>
      <c r="E22" s="15"/>
      <c r="F22" s="13" t="s">
        <v>53</v>
      </c>
      <c r="G22" s="14" t="s">
        <v>54</v>
      </c>
      <c r="H22" s="14"/>
      <c r="I22" s="1"/>
    </row>
    <row r="23" customFormat="false" ht="4.5" hidden="false" customHeight="true" outlineLevel="0" collapsed="false">
      <c r="A23" s="1"/>
      <c r="I23" s="1"/>
    </row>
    <row r="24" customFormat="false" ht="18" hidden="false" customHeight="true" outlineLevel="0" collapsed="false">
      <c r="A24" s="1"/>
      <c r="B24" s="18" t="s">
        <v>55</v>
      </c>
      <c r="C24" s="18"/>
      <c r="D24" s="18"/>
      <c r="E24" s="15"/>
      <c r="F24" s="18" t="s">
        <v>56</v>
      </c>
      <c r="G24" s="18"/>
      <c r="H24" s="18"/>
      <c r="I24" s="1"/>
    </row>
    <row r="25" customFormat="false" ht="15.75" hidden="false" customHeight="true" outlineLevel="0" collapsed="false">
      <c r="A25" s="1"/>
      <c r="B25" s="19" t="s">
        <v>57</v>
      </c>
      <c r="C25" s="20" t="s">
        <v>58</v>
      </c>
      <c r="D25" s="20" t="s">
        <v>59</v>
      </c>
      <c r="E25" s="15"/>
      <c r="F25" s="19" t="s">
        <v>57</v>
      </c>
      <c r="G25" s="20" t="s">
        <v>58</v>
      </c>
      <c r="H25" s="20" t="s">
        <v>59</v>
      </c>
      <c r="I25" s="1"/>
    </row>
    <row r="26" customFormat="false" ht="15.75" hidden="false" customHeight="true" outlineLevel="0" collapsed="false">
      <c r="A26" s="1"/>
      <c r="B26" s="17" t="s">
        <v>60</v>
      </c>
      <c r="C26" s="21" t="n">
        <v>45000</v>
      </c>
      <c r="D26" s="21" t="n">
        <f aca="false">C26*12</f>
        <v>540000</v>
      </c>
      <c r="E26" s="15"/>
      <c r="F26" s="17" t="s">
        <v>61</v>
      </c>
      <c r="G26" s="21" t="n">
        <v>5400</v>
      </c>
      <c r="H26" s="21" t="n">
        <f aca="false">G26*12</f>
        <v>64800</v>
      </c>
      <c r="I26" s="1"/>
    </row>
    <row r="27" customFormat="false" ht="15.75" hidden="false" customHeight="true" outlineLevel="0" collapsed="false">
      <c r="A27" s="1"/>
      <c r="B27" s="14" t="s">
        <v>62</v>
      </c>
      <c r="C27" s="22" t="n">
        <v>4500</v>
      </c>
      <c r="D27" s="22" t="n">
        <f aca="false">C27*12</f>
        <v>54000</v>
      </c>
      <c r="E27" s="15"/>
      <c r="F27" s="14" t="s">
        <v>63</v>
      </c>
      <c r="G27" s="22" t="n">
        <v>444</v>
      </c>
      <c r="H27" s="22" t="n">
        <f aca="false">G27*12</f>
        <v>5328</v>
      </c>
      <c r="I27" s="1"/>
    </row>
    <row r="28" customFormat="false" ht="15.75" hidden="false" customHeight="true" outlineLevel="0" collapsed="false">
      <c r="A28" s="1"/>
      <c r="B28" s="17" t="s">
        <v>64</v>
      </c>
      <c r="C28" s="21" t="n">
        <v>9000</v>
      </c>
      <c r="D28" s="21" t="n">
        <f aca="false">C28*12</f>
        <v>108000</v>
      </c>
      <c r="E28" s="15"/>
      <c r="F28" s="17" t="s">
        <v>65</v>
      </c>
      <c r="G28" s="21" t="n">
        <v>200</v>
      </c>
      <c r="H28" s="21" t="n">
        <f aca="false">G28*12</f>
        <v>2400</v>
      </c>
      <c r="I28" s="1"/>
    </row>
    <row r="29" customFormat="false" ht="15.75" hidden="false" customHeight="true" outlineLevel="0" collapsed="false">
      <c r="A29" s="1"/>
      <c r="B29" s="14" t="s">
        <v>66</v>
      </c>
      <c r="C29" s="22" t="n">
        <v>1600</v>
      </c>
      <c r="D29" s="22" t="n">
        <f aca="false">C29*12</f>
        <v>19200</v>
      </c>
      <c r="E29" s="15"/>
      <c r="F29" s="14" t="s">
        <v>67</v>
      </c>
      <c r="G29" s="22" t="n">
        <v>20</v>
      </c>
      <c r="H29" s="22" t="n">
        <f aca="false">G29*12</f>
        <v>240</v>
      </c>
      <c r="I29" s="1"/>
    </row>
    <row r="30" customFormat="false" ht="15.75" hidden="false" customHeight="true" outlineLevel="0" collapsed="false">
      <c r="A30" s="1"/>
      <c r="B30" s="17" t="s">
        <v>68</v>
      </c>
      <c r="C30" s="21" t="n">
        <v>1250</v>
      </c>
      <c r="D30" s="21" t="n">
        <f aca="false">C30*12</f>
        <v>15000</v>
      </c>
      <c r="E30" s="15"/>
      <c r="F30" s="17" t="s">
        <v>69</v>
      </c>
      <c r="G30" s="21" t="n">
        <v>0</v>
      </c>
      <c r="H30" s="21" t="n">
        <f aca="false">G30*12</f>
        <v>0</v>
      </c>
      <c r="I30" s="1"/>
    </row>
    <row r="31" customFormat="false" ht="15.75" hidden="false" customHeight="true" outlineLevel="0" collapsed="false">
      <c r="A31" s="1"/>
      <c r="B31" s="14" t="s">
        <v>70</v>
      </c>
      <c r="C31" s="22" t="n">
        <v>3950</v>
      </c>
      <c r="D31" s="22" t="n">
        <f aca="false">C31*12</f>
        <v>47400</v>
      </c>
      <c r="E31" s="15"/>
      <c r="F31" s="14" t="s">
        <v>71</v>
      </c>
      <c r="G31" s="22" t="n">
        <v>0</v>
      </c>
      <c r="H31" s="22" t="n">
        <f aca="false">G31*12</f>
        <v>0</v>
      </c>
      <c r="I31" s="1"/>
    </row>
    <row r="32" customFormat="false" ht="15.75" hidden="false" customHeight="true" outlineLevel="0" collapsed="false">
      <c r="A32" s="1"/>
      <c r="B32" s="17" t="s">
        <v>72</v>
      </c>
      <c r="C32" s="21" t="n">
        <v>0</v>
      </c>
      <c r="D32" s="21" t="n">
        <f aca="false">C32*12</f>
        <v>0</v>
      </c>
      <c r="E32" s="15"/>
      <c r="F32" s="17" t="s">
        <v>73</v>
      </c>
      <c r="G32" s="21" t="n">
        <v>0</v>
      </c>
      <c r="H32" s="21" t="n">
        <f aca="false">G32*12</f>
        <v>0</v>
      </c>
      <c r="I32" s="1"/>
    </row>
    <row r="33" customFormat="false" ht="15.75" hidden="false" customHeight="true" outlineLevel="0" collapsed="false">
      <c r="A33" s="1"/>
      <c r="B33" s="14" t="s">
        <v>74</v>
      </c>
      <c r="C33" s="22" t="n">
        <v>0</v>
      </c>
      <c r="D33" s="22" t="n">
        <f aca="false">C33*12</f>
        <v>0</v>
      </c>
      <c r="E33" s="15"/>
      <c r="F33" s="14" t="s">
        <v>75</v>
      </c>
      <c r="G33" s="22" t="n">
        <v>0</v>
      </c>
      <c r="H33" s="22" t="n">
        <f aca="false">G33*12</f>
        <v>0</v>
      </c>
      <c r="I33" s="1"/>
    </row>
    <row r="34" customFormat="false" ht="15.75" hidden="false" customHeight="true" outlineLevel="0" collapsed="false">
      <c r="A34" s="1"/>
      <c r="B34" s="17" t="s">
        <v>76</v>
      </c>
      <c r="C34" s="21" t="n">
        <v>0</v>
      </c>
      <c r="D34" s="21" t="n">
        <f aca="false">C34*12</f>
        <v>0</v>
      </c>
      <c r="E34" s="15"/>
      <c r="F34" s="17" t="s">
        <v>77</v>
      </c>
      <c r="G34" s="21" t="n">
        <v>0</v>
      </c>
      <c r="H34" s="21" t="n">
        <f aca="false">G34*12</f>
        <v>0</v>
      </c>
      <c r="I34" s="1"/>
    </row>
    <row r="35" customFormat="false" ht="15.75" hidden="false" customHeight="true" outlineLevel="0" collapsed="false">
      <c r="A35" s="1"/>
      <c r="B35" s="23"/>
      <c r="C35" s="24"/>
      <c r="D35" s="24"/>
      <c r="E35" s="15"/>
      <c r="F35" s="14"/>
      <c r="G35" s="24"/>
      <c r="H35" s="24"/>
      <c r="I35" s="1"/>
    </row>
    <row r="36" customFormat="false" ht="19.5" hidden="false" customHeight="true" outlineLevel="0" collapsed="false">
      <c r="A36" s="1"/>
      <c r="B36" s="25" t="s">
        <v>78</v>
      </c>
      <c r="C36" s="26" t="n">
        <f aca="false">C26+C27+C28+C29+C30+C31+C32+C33+C34</f>
        <v>65300</v>
      </c>
      <c r="D36" s="26" t="n">
        <f aca="false">D26+D27+D28+D29+D30+D31+D32+D33+D34</f>
        <v>783600</v>
      </c>
      <c r="E36" s="15"/>
      <c r="F36" s="25" t="s">
        <v>79</v>
      </c>
      <c r="G36" s="26" t="n">
        <f aca="false">G26+G27+G28+G29+G30+G31+G32+G33+G34</f>
        <v>6064</v>
      </c>
      <c r="H36" s="26" t="n">
        <f aca="false">H26+H27+H28+H29+H30+H31+H32+H33+H34</f>
        <v>72768</v>
      </c>
      <c r="I36" s="1"/>
    </row>
    <row r="37" customFormat="false" ht="30" hidden="false" customHeight="true" outlineLevel="0" collapsed="false">
      <c r="A37" s="1"/>
      <c r="B37" s="27" t="s">
        <v>80</v>
      </c>
      <c r="C37" s="27"/>
      <c r="D37" s="27"/>
      <c r="E37" s="15"/>
      <c r="F37" s="28" t="n">
        <f aca="false">C36-G36</f>
        <v>59236</v>
      </c>
      <c r="G37" s="28"/>
      <c r="H37" s="29" t="s">
        <v>81</v>
      </c>
      <c r="I37" s="1"/>
    </row>
    <row r="38" customFormat="false" ht="15.75" hidden="false" customHeight="true" outlineLevel="0" collapsed="false">
      <c r="A38" s="1"/>
      <c r="B38" s="30" t="s">
        <v>82</v>
      </c>
      <c r="C38" s="30"/>
      <c r="D38" s="30"/>
      <c r="E38" s="30"/>
      <c r="F38" s="30"/>
      <c r="G38" s="30"/>
      <c r="H38" s="30"/>
      <c r="I38" s="1"/>
    </row>
    <row r="39" customFormat="false" ht="6" hidden="false" customHeight="true" outlineLevel="0" collapsed="false">
      <c r="A39" s="1"/>
      <c r="I39" s="1"/>
    </row>
    <row r="40" customFormat="false" ht="18" hidden="false" customHeight="true" outlineLevel="0" collapsed="false">
      <c r="A40" s="1"/>
      <c r="B40" s="31" t="s">
        <v>83</v>
      </c>
      <c r="C40" s="31"/>
      <c r="D40" s="31"/>
      <c r="E40" s="31"/>
      <c r="F40" s="31"/>
      <c r="G40" s="31"/>
      <c r="H40" s="31"/>
      <c r="I40" s="1"/>
    </row>
    <row r="41" customFormat="false" ht="15" hidden="false" customHeight="true" outlineLevel="0" collapsed="false">
      <c r="A41" s="1"/>
      <c r="B41" s="32" t="s">
        <v>57</v>
      </c>
      <c r="C41" s="32" t="s">
        <v>58</v>
      </c>
      <c r="D41" s="32" t="s">
        <v>84</v>
      </c>
      <c r="E41" s="32"/>
      <c r="F41" s="32"/>
      <c r="G41" s="32"/>
      <c r="H41" s="32"/>
      <c r="I41" s="1"/>
    </row>
    <row r="42" customFormat="false" ht="15" hidden="false" customHeight="true" outlineLevel="0" collapsed="false">
      <c r="A42" s="1"/>
      <c r="B42" s="33" t="s">
        <v>85</v>
      </c>
      <c r="C42" s="34" t="n">
        <v>5400</v>
      </c>
      <c r="D42" s="35" t="s">
        <v>86</v>
      </c>
      <c r="E42" s="35"/>
      <c r="F42" s="35"/>
      <c r="G42" s="35"/>
      <c r="H42" s="35"/>
      <c r="I42" s="1"/>
    </row>
    <row r="43" customFormat="false" ht="15" hidden="false" customHeight="true" outlineLevel="0" collapsed="false">
      <c r="A43" s="1"/>
      <c r="B43" s="36" t="s">
        <v>87</v>
      </c>
      <c r="C43" s="37" t="n">
        <v>1250</v>
      </c>
      <c r="D43" s="38" t="s">
        <v>88</v>
      </c>
      <c r="E43" s="38"/>
      <c r="F43" s="38"/>
      <c r="G43" s="38"/>
      <c r="H43" s="38"/>
      <c r="I43" s="1"/>
    </row>
    <row r="44" customFormat="false" ht="15" hidden="false" customHeight="true" outlineLevel="0" collapsed="false">
      <c r="A44" s="1"/>
      <c r="B44" s="33" t="s">
        <v>89</v>
      </c>
      <c r="C44" s="34" t="n">
        <v>225</v>
      </c>
      <c r="D44" s="35" t="s">
        <v>90</v>
      </c>
      <c r="E44" s="35"/>
      <c r="F44" s="35"/>
      <c r="G44" s="35"/>
      <c r="H44" s="35"/>
      <c r="I44" s="1"/>
    </row>
    <row r="45" customFormat="false" ht="15" hidden="false" customHeight="true" outlineLevel="0" collapsed="false">
      <c r="A45" s="1"/>
      <c r="B45" s="36" t="s">
        <v>91</v>
      </c>
      <c r="C45" s="37" t="n">
        <v>225</v>
      </c>
      <c r="D45" s="38" t="s">
        <v>92</v>
      </c>
      <c r="E45" s="38"/>
      <c r="F45" s="38"/>
      <c r="G45" s="38"/>
      <c r="H45" s="38"/>
      <c r="I45" s="1"/>
    </row>
    <row r="46" customFormat="false" ht="15" hidden="false" customHeight="true" outlineLevel="0" collapsed="false">
      <c r="A46" s="1"/>
      <c r="B46" s="33" t="s">
        <v>93</v>
      </c>
      <c r="C46" s="34" t="n">
        <v>1927</v>
      </c>
      <c r="D46" s="35" t="s">
        <v>94</v>
      </c>
      <c r="E46" s="35"/>
      <c r="F46" s="35"/>
      <c r="G46" s="35"/>
      <c r="H46" s="35"/>
      <c r="I46" s="1"/>
    </row>
    <row r="47" customFormat="false" ht="15" hidden="false" customHeight="true" outlineLevel="0" collapsed="false">
      <c r="A47" s="1"/>
      <c r="B47" s="36" t="s">
        <v>95</v>
      </c>
      <c r="C47" s="37" t="n">
        <v>40</v>
      </c>
      <c r="D47" s="38" t="s">
        <v>96</v>
      </c>
      <c r="E47" s="38"/>
      <c r="F47" s="38"/>
      <c r="G47" s="38"/>
      <c r="H47" s="38"/>
      <c r="I47" s="1"/>
    </row>
    <row r="48" customFormat="false" ht="16.5" hidden="false" customHeight="true" outlineLevel="0" collapsed="false">
      <c r="A48" s="1"/>
      <c r="B48" s="39" t="s">
        <v>97</v>
      </c>
      <c r="C48" s="40" t="n">
        <f aca="false">C42+C43+C44+C45+C46+C47</f>
        <v>9067</v>
      </c>
      <c r="D48" s="41" t="s">
        <v>98</v>
      </c>
      <c r="E48" s="41"/>
      <c r="F48" s="41"/>
      <c r="G48" s="41"/>
      <c r="H48" s="41"/>
      <c r="I48" s="1"/>
    </row>
    <row r="49" customFormat="false" ht="6" hidden="false" customHeight="true" outlineLevel="0" collapsed="false">
      <c r="A49" s="1"/>
      <c r="I49" s="1"/>
    </row>
    <row r="50" customFormat="false" ht="18" hidden="false" customHeight="true" outlineLevel="0" collapsed="false">
      <c r="A50" s="1"/>
      <c r="B50" s="42" t="s">
        <v>99</v>
      </c>
      <c r="C50" s="42"/>
      <c r="D50" s="42"/>
      <c r="E50" s="42"/>
      <c r="F50" s="42"/>
      <c r="G50" s="42"/>
      <c r="H50" s="42"/>
      <c r="I50" s="1"/>
    </row>
    <row r="51" customFormat="false" ht="15" hidden="false" customHeight="true" outlineLevel="0" collapsed="false">
      <c r="A51" s="1"/>
      <c r="B51" s="20" t="s">
        <v>100</v>
      </c>
      <c r="C51" s="20" t="s">
        <v>101</v>
      </c>
      <c r="D51" s="20" t="s">
        <v>102</v>
      </c>
      <c r="E51" s="20" t="s">
        <v>103</v>
      </c>
      <c r="F51" s="20" t="s">
        <v>104</v>
      </c>
      <c r="G51" s="20" t="s">
        <v>105</v>
      </c>
      <c r="H51" s="20" t="s">
        <v>106</v>
      </c>
      <c r="I51" s="1"/>
    </row>
    <row r="52" customFormat="false" ht="15" hidden="false" customHeight="true" outlineLevel="0" collapsed="false">
      <c r="A52" s="1"/>
      <c r="B52" s="33" t="s">
        <v>107</v>
      </c>
      <c r="C52" s="43" t="n">
        <v>15</v>
      </c>
      <c r="D52" s="43" t="n">
        <v>12</v>
      </c>
      <c r="E52" s="43" t="n">
        <v>2</v>
      </c>
      <c r="F52" s="43" t="n">
        <v>10</v>
      </c>
      <c r="G52" s="43" t="n">
        <v>0</v>
      </c>
      <c r="H52" s="43" t="s">
        <v>108</v>
      </c>
      <c r="I52" s="1"/>
    </row>
    <row r="53" customFormat="false" ht="15" hidden="false" customHeight="true" outlineLevel="0" collapsed="false">
      <c r="A53" s="1"/>
      <c r="B53" s="36" t="s">
        <v>109</v>
      </c>
      <c r="C53" s="44" t="n">
        <v>12</v>
      </c>
      <c r="D53" s="44" t="n">
        <v>12</v>
      </c>
      <c r="E53" s="44" t="n">
        <v>1</v>
      </c>
      <c r="F53" s="44" t="n">
        <v>11</v>
      </c>
      <c r="G53" s="44" t="n">
        <v>0</v>
      </c>
      <c r="H53" s="44" t="s">
        <v>110</v>
      </c>
      <c r="I53" s="1"/>
    </row>
    <row r="54" customFormat="false" ht="15" hidden="false" customHeight="true" outlineLevel="0" collapsed="false">
      <c r="A54" s="1"/>
      <c r="B54" s="33" t="s">
        <v>111</v>
      </c>
      <c r="C54" s="43" t="n">
        <v>12</v>
      </c>
      <c r="D54" s="43" t="n">
        <v>12</v>
      </c>
      <c r="E54" s="43" t="n">
        <v>0</v>
      </c>
      <c r="F54" s="43" t="n">
        <v>12</v>
      </c>
      <c r="G54" s="43" t="n">
        <v>0</v>
      </c>
      <c r="H54" s="43" t="s">
        <v>112</v>
      </c>
      <c r="I54" s="1"/>
    </row>
    <row r="55" customFormat="false" ht="15" hidden="false" customHeight="true" outlineLevel="0" collapsed="false">
      <c r="A55" s="1"/>
      <c r="B55" s="36" t="s">
        <v>113</v>
      </c>
      <c r="C55" s="44" t="n">
        <v>26</v>
      </c>
      <c r="D55" s="44" t="n">
        <v>0</v>
      </c>
      <c r="E55" s="44" t="n">
        <v>0</v>
      </c>
      <c r="F55" s="44" t="n">
        <v>0</v>
      </c>
      <c r="G55" s="44" t="n">
        <v>0</v>
      </c>
      <c r="H55" s="44" t="s">
        <v>114</v>
      </c>
      <c r="I55" s="1"/>
    </row>
    <row r="56" customFormat="false" ht="15" hidden="false" customHeight="true" outlineLevel="0" collapsed="false">
      <c r="A56" s="1"/>
      <c r="B56" s="33" t="s">
        <v>115</v>
      </c>
      <c r="C56" s="43" t="n">
        <v>0</v>
      </c>
      <c r="D56" s="43" t="n">
        <v>0</v>
      </c>
      <c r="E56" s="43" t="n">
        <v>0</v>
      </c>
      <c r="F56" s="43" t="n">
        <v>0</v>
      </c>
      <c r="G56" s="43" t="n">
        <v>0</v>
      </c>
      <c r="H56" s="43" t="s">
        <v>116</v>
      </c>
      <c r="I56" s="1"/>
    </row>
    <row r="57" customFormat="false" ht="6" hidden="false" customHeight="true" outlineLevel="0" collapsed="false">
      <c r="A57" s="1"/>
      <c r="I57" s="1"/>
    </row>
    <row r="58" customFormat="false" ht="18" hidden="false" customHeight="true" outlineLevel="0" collapsed="false">
      <c r="A58" s="1"/>
      <c r="B58" s="42" t="s">
        <v>117</v>
      </c>
      <c r="C58" s="42"/>
      <c r="D58" s="42"/>
      <c r="E58" s="42"/>
      <c r="F58" s="42"/>
      <c r="G58" s="42"/>
      <c r="H58" s="42"/>
      <c r="I58" s="1"/>
    </row>
    <row r="59" customFormat="false" ht="15" hidden="false" customHeight="true" outlineLevel="0" collapsed="false">
      <c r="A59" s="1"/>
      <c r="B59" s="20" t="s">
        <v>57</v>
      </c>
      <c r="C59" s="20" t="s">
        <v>118</v>
      </c>
      <c r="D59" s="20" t="s">
        <v>119</v>
      </c>
      <c r="E59" s="20"/>
      <c r="F59" s="20" t="s">
        <v>57</v>
      </c>
      <c r="G59" s="20" t="s">
        <v>118</v>
      </c>
      <c r="H59" s="20" t="s">
        <v>119</v>
      </c>
      <c r="I59" s="1"/>
    </row>
    <row r="60" customFormat="false" ht="15" hidden="false" customHeight="true" outlineLevel="0" collapsed="false">
      <c r="A60" s="1"/>
      <c r="B60" s="33" t="s">
        <v>120</v>
      </c>
      <c r="C60" s="45" t="n">
        <v>65300</v>
      </c>
      <c r="D60" s="45" t="n">
        <v>65300</v>
      </c>
      <c r="E60" s="43"/>
      <c r="F60" s="43" t="s">
        <v>121</v>
      </c>
      <c r="G60" s="45" t="n">
        <v>6064</v>
      </c>
      <c r="H60" s="45" t="n">
        <v>6064</v>
      </c>
      <c r="I60" s="1"/>
    </row>
    <row r="61" customFormat="false" ht="15" hidden="false" customHeight="true" outlineLevel="0" collapsed="false">
      <c r="A61" s="1"/>
      <c r="B61" s="36" t="s">
        <v>122</v>
      </c>
      <c r="C61" s="46" t="n">
        <v>5400</v>
      </c>
      <c r="D61" s="46" t="n">
        <v>5400</v>
      </c>
      <c r="E61" s="44"/>
      <c r="F61" s="44" t="s">
        <v>123</v>
      </c>
      <c r="G61" s="46" t="n">
        <v>5400</v>
      </c>
      <c r="H61" s="46" t="n">
        <v>5400</v>
      </c>
      <c r="I61" s="1"/>
    </row>
    <row r="62" customFormat="false" ht="15" hidden="false" customHeight="true" outlineLevel="0" collapsed="false">
      <c r="A62" s="1"/>
      <c r="B62" s="33" t="s">
        <v>124</v>
      </c>
      <c r="C62" s="45" t="n">
        <v>444</v>
      </c>
      <c r="D62" s="45" t="n">
        <v>444</v>
      </c>
      <c r="E62" s="43"/>
      <c r="F62" s="43" t="s">
        <v>125</v>
      </c>
      <c r="G62" s="45" t="n">
        <v>1927</v>
      </c>
      <c r="H62" s="45" t="n">
        <v>1927</v>
      </c>
      <c r="I62" s="1"/>
    </row>
    <row r="63" customFormat="false" ht="15" hidden="false" customHeight="true" outlineLevel="0" collapsed="false">
      <c r="A63" s="1"/>
      <c r="B63" s="36" t="s">
        <v>126</v>
      </c>
      <c r="C63" s="46" t="n">
        <v>0</v>
      </c>
      <c r="D63" s="46" t="n">
        <v>0</v>
      </c>
      <c r="E63" s="44"/>
      <c r="F63" s="44" t="s">
        <v>127</v>
      </c>
      <c r="G63" s="46" t="n">
        <v>59236</v>
      </c>
      <c r="H63" s="46" t="n">
        <v>59236</v>
      </c>
      <c r="I63" s="1"/>
    </row>
    <row r="64" customFormat="false" ht="6" hidden="false" customHeight="true" outlineLevel="0" collapsed="false">
      <c r="A64" s="1"/>
      <c r="I64" s="1"/>
    </row>
    <row r="65" customFormat="false" ht="18" hidden="false" customHeight="true" outlineLevel="0" collapsed="false">
      <c r="A65" s="1"/>
      <c r="B65" s="42" t="s">
        <v>128</v>
      </c>
      <c r="C65" s="42"/>
      <c r="D65" s="42"/>
      <c r="E65" s="42"/>
      <c r="F65" s="42"/>
      <c r="G65" s="42"/>
      <c r="H65" s="42"/>
      <c r="I65" s="1"/>
    </row>
    <row r="66" customFormat="false" ht="13.5" hidden="false" customHeight="true" outlineLevel="0" collapsed="false">
      <c r="A66" s="1"/>
      <c r="B66" s="19" t="s">
        <v>129</v>
      </c>
      <c r="C66" s="19" t="s">
        <v>130</v>
      </c>
      <c r="D66" s="19"/>
      <c r="E66" s="19"/>
      <c r="F66" s="19"/>
      <c r="G66" s="19"/>
      <c r="H66" s="19" t="s">
        <v>131</v>
      </c>
      <c r="I66" s="1"/>
    </row>
    <row r="67" customFormat="false" ht="15" hidden="false" customHeight="true" outlineLevel="0" collapsed="false">
      <c r="A67" s="1"/>
      <c r="B67" s="47" t="s">
        <v>132</v>
      </c>
      <c r="C67" s="48" t="s">
        <v>133</v>
      </c>
      <c r="D67" s="48"/>
      <c r="E67" s="48" t="s">
        <v>134</v>
      </c>
      <c r="F67" s="48"/>
      <c r="G67" s="48"/>
      <c r="H67" s="49" t="s">
        <v>135</v>
      </c>
      <c r="I67" s="1"/>
    </row>
    <row r="68" customFormat="false" ht="15" hidden="false" customHeight="true" outlineLevel="0" collapsed="false">
      <c r="A68" s="1"/>
      <c r="B68" s="50" t="s">
        <v>136</v>
      </c>
      <c r="C68" s="51" t="s">
        <v>137</v>
      </c>
      <c r="D68" s="51"/>
      <c r="E68" s="51" t="s">
        <v>138</v>
      </c>
      <c r="F68" s="51"/>
      <c r="G68" s="51"/>
      <c r="H68" s="49" t="s">
        <v>135</v>
      </c>
      <c r="I68" s="1"/>
    </row>
    <row r="69" customFormat="false" ht="15" hidden="false" customHeight="true" outlineLevel="0" collapsed="false">
      <c r="A69" s="1"/>
      <c r="B69" s="47" t="s">
        <v>139</v>
      </c>
      <c r="C69" s="48" t="s">
        <v>140</v>
      </c>
      <c r="D69" s="48"/>
      <c r="E69" s="48" t="s">
        <v>141</v>
      </c>
      <c r="F69" s="48"/>
      <c r="G69" s="48"/>
      <c r="H69" s="49" t="s">
        <v>142</v>
      </c>
      <c r="I69" s="1"/>
    </row>
    <row r="70" customFormat="false" ht="15" hidden="false" customHeight="true" outlineLevel="0" collapsed="false">
      <c r="A70" s="1"/>
      <c r="B70" s="50" t="s">
        <v>143</v>
      </c>
      <c r="C70" s="51" t="s">
        <v>144</v>
      </c>
      <c r="D70" s="51"/>
      <c r="E70" s="51" t="s">
        <v>145</v>
      </c>
      <c r="F70" s="51"/>
      <c r="G70" s="51"/>
      <c r="H70" s="49" t="s">
        <v>146</v>
      </c>
      <c r="I70" s="1"/>
    </row>
    <row r="71" customFormat="false" ht="15" hidden="false" customHeight="true" outlineLevel="0" collapsed="false">
      <c r="A71" s="1"/>
      <c r="B71" s="47" t="s">
        <v>147</v>
      </c>
      <c r="C71" s="48" t="s">
        <v>148</v>
      </c>
      <c r="D71" s="48"/>
      <c r="E71" s="48" t="s">
        <v>149</v>
      </c>
      <c r="F71" s="48"/>
      <c r="G71" s="48"/>
      <c r="H71" s="49" t="s">
        <v>150</v>
      </c>
      <c r="I71" s="1"/>
    </row>
    <row r="72" customFormat="false" ht="15" hidden="false" customHeight="true" outlineLevel="0" collapsed="false">
      <c r="A72" s="1"/>
      <c r="B72" s="50" t="s">
        <v>151</v>
      </c>
      <c r="C72" s="51" t="s">
        <v>152</v>
      </c>
      <c r="D72" s="51"/>
      <c r="E72" s="51" t="s">
        <v>153</v>
      </c>
      <c r="F72" s="51"/>
      <c r="G72" s="51"/>
      <c r="H72" s="49" t="s">
        <v>146</v>
      </c>
      <c r="I72" s="1"/>
    </row>
    <row r="73" customFormat="false" ht="15" hidden="false" customHeight="true" outlineLevel="0" collapsed="false">
      <c r="A73" s="1"/>
      <c r="B73" s="47" t="s">
        <v>154</v>
      </c>
      <c r="C73" s="48" t="s">
        <v>52</v>
      </c>
      <c r="D73" s="48"/>
      <c r="E73" s="48" t="s">
        <v>155</v>
      </c>
      <c r="F73" s="48"/>
      <c r="G73" s="48"/>
      <c r="H73" s="49" t="s">
        <v>156</v>
      </c>
      <c r="I73" s="1"/>
    </row>
    <row r="74" customFormat="false" ht="15" hidden="false" customHeight="true" outlineLevel="0" collapsed="false">
      <c r="A74" s="1"/>
      <c r="B74" s="50" t="s">
        <v>157</v>
      </c>
      <c r="C74" s="51" t="s">
        <v>158</v>
      </c>
      <c r="D74" s="51"/>
      <c r="E74" s="51" t="s">
        <v>159</v>
      </c>
      <c r="F74" s="51"/>
      <c r="G74" s="51"/>
      <c r="H74" s="52" t="s">
        <v>160</v>
      </c>
      <c r="I74" s="1"/>
    </row>
    <row r="75" customFormat="false" ht="15" hidden="false" customHeight="true" outlineLevel="0" collapsed="false">
      <c r="A75" s="1"/>
      <c r="B75" s="47" t="s">
        <v>161</v>
      </c>
      <c r="C75" s="48" t="s">
        <v>162</v>
      </c>
      <c r="D75" s="48"/>
      <c r="E75" s="48" t="s">
        <v>163</v>
      </c>
      <c r="F75" s="48"/>
      <c r="G75" s="48"/>
      <c r="H75" s="52" t="s">
        <v>164</v>
      </c>
      <c r="I75" s="1"/>
    </row>
    <row r="76" customFormat="false" ht="6" hidden="false" customHeight="true" outlineLevel="0" collapsed="false">
      <c r="A76" s="1"/>
      <c r="I76" s="1"/>
    </row>
    <row r="77" customFormat="false" ht="18" hidden="false" customHeight="true" outlineLevel="0" collapsed="false">
      <c r="A77" s="1"/>
      <c r="B77" s="42" t="s">
        <v>165</v>
      </c>
      <c r="C77" s="42"/>
      <c r="D77" s="42"/>
      <c r="E77" s="42"/>
      <c r="F77" s="42"/>
      <c r="G77" s="42"/>
      <c r="H77" s="42"/>
      <c r="I77" s="1"/>
    </row>
    <row r="78" customFormat="false" ht="13.5" hidden="false" customHeight="true" outlineLevel="0" collapsed="false">
      <c r="A78" s="1"/>
      <c r="B78" s="53" t="s">
        <v>166</v>
      </c>
      <c r="C78" s="53"/>
      <c r="D78" s="53"/>
      <c r="E78" s="53"/>
      <c r="F78" s="53"/>
      <c r="G78" s="53"/>
      <c r="H78" s="53"/>
      <c r="I78" s="1"/>
    </row>
    <row r="79" customFormat="false" ht="13.5" hidden="false" customHeight="true" outlineLevel="0" collapsed="false">
      <c r="A79" s="1"/>
      <c r="B79" s="54"/>
      <c r="C79" s="54"/>
      <c r="D79" s="54"/>
      <c r="E79" s="54"/>
      <c r="F79" s="54"/>
      <c r="G79" s="54"/>
      <c r="H79" s="54"/>
      <c r="I79" s="1"/>
    </row>
    <row r="80" customFormat="false" ht="13.5" hidden="false" customHeight="true" outlineLevel="0" collapsed="false">
      <c r="A80" s="1"/>
      <c r="B80" s="55" t="s">
        <v>167</v>
      </c>
      <c r="C80" s="54"/>
      <c r="D80" s="54"/>
      <c r="E80" s="54"/>
      <c r="F80" s="55" t="s">
        <v>168</v>
      </c>
      <c r="G80" s="54"/>
      <c r="H80" s="54"/>
      <c r="I80" s="1"/>
    </row>
    <row r="81" customFormat="false" ht="13.5" hidden="false" customHeight="true" outlineLevel="0" collapsed="false">
      <c r="A81" s="1"/>
      <c r="B81" s="54"/>
      <c r="C81" s="54"/>
      <c r="D81" s="54"/>
      <c r="E81" s="54"/>
      <c r="F81" s="54"/>
      <c r="G81" s="54"/>
      <c r="H81" s="54"/>
      <c r="I81" s="1"/>
    </row>
    <row r="82" customFormat="false" ht="13.5" hidden="false" customHeight="true" outlineLevel="0" collapsed="false">
      <c r="A82" s="1"/>
      <c r="B82" s="54"/>
      <c r="C82" s="54"/>
      <c r="D82" s="54"/>
      <c r="E82" s="54"/>
      <c r="F82" s="54"/>
      <c r="G82" s="54"/>
      <c r="H82" s="54"/>
      <c r="I82" s="1"/>
    </row>
    <row r="83" customFormat="false" ht="13.5" hidden="false" customHeight="true" outlineLevel="0" collapsed="false">
      <c r="A83" s="1"/>
      <c r="B83" s="56" t="s">
        <v>169</v>
      </c>
      <c r="C83" s="56" t="s">
        <v>170</v>
      </c>
      <c r="D83" s="54"/>
      <c r="E83" s="54"/>
      <c r="F83" s="56" t="s">
        <v>171</v>
      </c>
      <c r="G83" s="56" t="s">
        <v>172</v>
      </c>
      <c r="H83" s="54"/>
      <c r="I83" s="1"/>
    </row>
    <row r="84" customFormat="false" ht="13.5" hidden="false" customHeight="true" outlineLevel="0" collapsed="false">
      <c r="A84" s="1"/>
      <c r="B84" s="54"/>
      <c r="C84" s="54"/>
      <c r="D84" s="54"/>
      <c r="E84" s="54"/>
      <c r="F84" s="54"/>
      <c r="G84" s="54"/>
      <c r="H84" s="54"/>
      <c r="I84" s="1"/>
    </row>
    <row r="85" customFormat="false" ht="13.5" hidden="false" customHeight="true" outlineLevel="0" collapsed="false">
      <c r="A85" s="1"/>
      <c r="B85" s="57" t="s">
        <v>173</v>
      </c>
      <c r="C85" s="57"/>
      <c r="D85" s="57"/>
      <c r="E85" s="57"/>
      <c r="F85" s="57"/>
      <c r="G85" s="57"/>
      <c r="H85" s="57"/>
      <c r="I85" s="1"/>
    </row>
    <row r="86" customFormat="false" ht="7.5" hidden="false" customHeight="true" outlineLevel="0" collapsed="false">
      <c r="A86" s="1"/>
      <c r="B86" s="8"/>
      <c r="C86" s="8"/>
      <c r="D86" s="8"/>
      <c r="E86" s="8"/>
      <c r="F86" s="8"/>
      <c r="G86" s="8"/>
      <c r="H86" s="8"/>
      <c r="I86" s="1"/>
    </row>
    <row r="87" customFormat="false" ht="3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2.75" hidden="false" customHeight="true" outlineLevel="0" collapsed="false">
      <c r="A88" s="1"/>
      <c r="B88" s="58" t="s">
        <v>174</v>
      </c>
      <c r="C88" s="58"/>
      <c r="D88" s="58"/>
      <c r="E88" s="58"/>
      <c r="F88" s="58"/>
      <c r="G88" s="58"/>
      <c r="H88" s="58"/>
      <c r="I88" s="1"/>
    </row>
  </sheetData>
  <mergeCells count="74">
    <mergeCell ref="B3:E4"/>
    <mergeCell ref="F3:H3"/>
    <mergeCell ref="F4:H4"/>
    <mergeCell ref="B5:H5"/>
    <mergeCell ref="B6:E6"/>
    <mergeCell ref="F6:H6"/>
    <mergeCell ref="B7:H7"/>
    <mergeCell ref="B9:D9"/>
    <mergeCell ref="E9:F9"/>
    <mergeCell ref="G9:H9"/>
    <mergeCell ref="B11:H11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C21:D21"/>
    <mergeCell ref="G21:H21"/>
    <mergeCell ref="C22:D22"/>
    <mergeCell ref="G22:H22"/>
    <mergeCell ref="B24:D24"/>
    <mergeCell ref="F24:H24"/>
    <mergeCell ref="B37:D37"/>
    <mergeCell ref="F37:G37"/>
    <mergeCell ref="B38:H38"/>
    <mergeCell ref="B40:H40"/>
    <mergeCell ref="D41:H41"/>
    <mergeCell ref="D42:H42"/>
    <mergeCell ref="D43:H43"/>
    <mergeCell ref="D44:H44"/>
    <mergeCell ref="D45:H45"/>
    <mergeCell ref="D46:H46"/>
    <mergeCell ref="D47:H47"/>
    <mergeCell ref="D48:H48"/>
    <mergeCell ref="B50:H50"/>
    <mergeCell ref="B58:H58"/>
    <mergeCell ref="B65:H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B77:H77"/>
    <mergeCell ref="B78:H78"/>
    <mergeCell ref="B85:H85"/>
    <mergeCell ref="B88:H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2"/>
  </cols>
  <sheetData>
    <row r="1" customFormat="false" ht="3.75" hidden="false" customHeight="true" outlineLevel="0" collapsed="false"/>
    <row r="2" customFormat="false" ht="25.5" hidden="false" customHeight="true" outlineLevel="0" collapsed="false">
      <c r="B2" s="59" t="s">
        <v>175</v>
      </c>
      <c r="C2" s="59"/>
      <c r="D2" s="59"/>
    </row>
    <row r="3" customFormat="false" ht="13.5" hidden="false" customHeight="true" outlineLevel="0" collapsed="false">
      <c r="B3" s="60" t="s">
        <v>176</v>
      </c>
      <c r="C3" s="60"/>
      <c r="D3" s="60"/>
    </row>
    <row r="5" customFormat="false" ht="19.5" hidden="false" customHeight="true" outlineLevel="0" collapsed="false">
      <c r="B5" s="61" t="s">
        <v>177</v>
      </c>
      <c r="C5" s="61"/>
      <c r="D5" s="61"/>
    </row>
    <row r="6" customFormat="false" ht="13.5" hidden="false" customHeight="true" outlineLevel="0" collapsed="false">
      <c r="B6" s="32" t="s">
        <v>178</v>
      </c>
      <c r="C6" s="32" t="s">
        <v>179</v>
      </c>
      <c r="D6" s="32" t="s">
        <v>180</v>
      </c>
    </row>
    <row r="7" customFormat="false" ht="30" hidden="false" customHeight="true" outlineLevel="0" collapsed="false">
      <c r="B7" s="62" t="s">
        <v>60</v>
      </c>
      <c r="C7" s="63" t="s">
        <v>181</v>
      </c>
      <c r="D7" s="64" t="s">
        <v>182</v>
      </c>
    </row>
    <row r="8" customFormat="false" ht="30" hidden="false" customHeight="true" outlineLevel="0" collapsed="false">
      <c r="B8" s="65" t="s">
        <v>62</v>
      </c>
      <c r="C8" s="66" t="s">
        <v>183</v>
      </c>
      <c r="D8" s="67" t="s">
        <v>184</v>
      </c>
    </row>
    <row r="9" customFormat="false" ht="30" hidden="false" customHeight="true" outlineLevel="0" collapsed="false">
      <c r="B9" s="62" t="s">
        <v>185</v>
      </c>
      <c r="C9" s="63" t="s">
        <v>186</v>
      </c>
      <c r="D9" s="64" t="s">
        <v>187</v>
      </c>
    </row>
    <row r="10" customFormat="false" ht="30" hidden="false" customHeight="true" outlineLevel="0" collapsed="false">
      <c r="B10" s="65" t="s">
        <v>66</v>
      </c>
      <c r="C10" s="66" t="s">
        <v>188</v>
      </c>
      <c r="D10" s="67" t="s">
        <v>189</v>
      </c>
    </row>
    <row r="11" customFormat="false" ht="30" hidden="false" customHeight="true" outlineLevel="0" collapsed="false">
      <c r="B11" s="62" t="s">
        <v>68</v>
      </c>
      <c r="C11" s="63" t="s">
        <v>190</v>
      </c>
      <c r="D11" s="64" t="s">
        <v>191</v>
      </c>
    </row>
    <row r="12" customFormat="false" ht="30" hidden="false" customHeight="true" outlineLevel="0" collapsed="false">
      <c r="B12" s="65" t="s">
        <v>70</v>
      </c>
      <c r="C12" s="66" t="s">
        <v>192</v>
      </c>
      <c r="D12" s="67" t="s">
        <v>193</v>
      </c>
    </row>
    <row r="13" customFormat="false" ht="30" hidden="false" customHeight="true" outlineLevel="0" collapsed="false">
      <c r="B13" s="62" t="s">
        <v>194</v>
      </c>
      <c r="C13" s="63" t="s">
        <v>195</v>
      </c>
      <c r="D13" s="64" t="s">
        <v>196</v>
      </c>
    </row>
    <row r="14" customFormat="false" ht="30" hidden="false" customHeight="true" outlineLevel="0" collapsed="false">
      <c r="B14" s="65" t="s">
        <v>74</v>
      </c>
      <c r="C14" s="66" t="s">
        <v>197</v>
      </c>
      <c r="D14" s="67" t="s">
        <v>198</v>
      </c>
    </row>
    <row r="15" customFormat="false" ht="6" hidden="false" customHeight="true" outlineLevel="0" collapsed="false"/>
    <row r="16" customFormat="false" ht="19.5" hidden="false" customHeight="true" outlineLevel="0" collapsed="false">
      <c r="B16" s="61" t="s">
        <v>56</v>
      </c>
      <c r="C16" s="61"/>
      <c r="D16" s="61"/>
    </row>
    <row r="17" customFormat="false" ht="13.5" hidden="false" customHeight="true" outlineLevel="0" collapsed="false">
      <c r="B17" s="32" t="s">
        <v>178</v>
      </c>
      <c r="C17" s="32" t="s">
        <v>179</v>
      </c>
      <c r="D17" s="32" t="s">
        <v>180</v>
      </c>
    </row>
    <row r="18" customFormat="false" ht="30" hidden="false" customHeight="true" outlineLevel="0" collapsed="false">
      <c r="B18" s="62" t="s">
        <v>199</v>
      </c>
      <c r="C18" s="63" t="s">
        <v>200</v>
      </c>
      <c r="D18" s="64" t="s">
        <v>201</v>
      </c>
    </row>
    <row r="19" customFormat="false" ht="30" hidden="false" customHeight="true" outlineLevel="0" collapsed="false">
      <c r="B19" s="65" t="s">
        <v>202</v>
      </c>
      <c r="C19" s="66" t="s">
        <v>203</v>
      </c>
      <c r="D19" s="67" t="s">
        <v>132</v>
      </c>
    </row>
    <row r="20" customFormat="false" ht="30" hidden="false" customHeight="true" outlineLevel="0" collapsed="false">
      <c r="B20" s="62" t="s">
        <v>204</v>
      </c>
      <c r="C20" s="63" t="s">
        <v>205</v>
      </c>
      <c r="D20" s="64" t="s">
        <v>206</v>
      </c>
    </row>
    <row r="21" customFormat="false" ht="30" hidden="false" customHeight="true" outlineLevel="0" collapsed="false">
      <c r="B21" s="65" t="s">
        <v>207</v>
      </c>
      <c r="C21" s="66" t="s">
        <v>208</v>
      </c>
      <c r="D21" s="67" t="s">
        <v>209</v>
      </c>
    </row>
    <row r="22" customFormat="false" ht="30" hidden="false" customHeight="true" outlineLevel="0" collapsed="false">
      <c r="B22" s="62" t="s">
        <v>210</v>
      </c>
      <c r="C22" s="63" t="s">
        <v>211</v>
      </c>
      <c r="D22" s="64" t="s">
        <v>212</v>
      </c>
    </row>
    <row r="23" customFormat="false" ht="30" hidden="false" customHeight="true" outlineLevel="0" collapsed="false">
      <c r="B23" s="65" t="s">
        <v>213</v>
      </c>
      <c r="C23" s="66" t="s">
        <v>214</v>
      </c>
      <c r="D23" s="67" t="s">
        <v>215</v>
      </c>
    </row>
    <row r="24" customFormat="false" ht="30" hidden="false" customHeight="true" outlineLevel="0" collapsed="false">
      <c r="B24" s="62" t="s">
        <v>69</v>
      </c>
      <c r="C24" s="63" t="s">
        <v>216</v>
      </c>
      <c r="D24" s="64" t="s">
        <v>217</v>
      </c>
    </row>
    <row r="25" customFormat="false" ht="6" hidden="false" customHeight="true" outlineLevel="0" collapsed="false"/>
    <row r="26" customFormat="false" ht="19.5" hidden="false" customHeight="true" outlineLevel="0" collapsed="false">
      <c r="B26" s="61" t="s">
        <v>218</v>
      </c>
      <c r="C26" s="61"/>
      <c r="D26" s="61"/>
    </row>
    <row r="27" customFormat="false" ht="13.5" hidden="false" customHeight="true" outlineLevel="0" collapsed="false">
      <c r="B27" s="32" t="s">
        <v>178</v>
      </c>
      <c r="C27" s="32" t="s">
        <v>179</v>
      </c>
      <c r="D27" s="32" t="s">
        <v>180</v>
      </c>
    </row>
    <row r="28" customFormat="false" ht="30" hidden="false" customHeight="true" outlineLevel="0" collapsed="false">
      <c r="B28" s="62" t="s">
        <v>219</v>
      </c>
      <c r="C28" s="63" t="s">
        <v>220</v>
      </c>
      <c r="D28" s="64" t="s">
        <v>221</v>
      </c>
    </row>
    <row r="29" customFormat="false" ht="30" hidden="false" customHeight="true" outlineLevel="0" collapsed="false">
      <c r="B29" s="65" t="s">
        <v>222</v>
      </c>
      <c r="C29" s="66" t="s">
        <v>223</v>
      </c>
      <c r="D29" s="67" t="s">
        <v>224</v>
      </c>
    </row>
    <row r="30" customFormat="false" ht="30" hidden="false" customHeight="true" outlineLevel="0" collapsed="false">
      <c r="B30" s="62" t="s">
        <v>225</v>
      </c>
      <c r="C30" s="63" t="s">
        <v>226</v>
      </c>
      <c r="D30" s="64" t="s">
        <v>139</v>
      </c>
    </row>
    <row r="31" customFormat="false" ht="30" hidden="false" customHeight="true" outlineLevel="0" collapsed="false">
      <c r="B31" s="65" t="s">
        <v>227</v>
      </c>
      <c r="C31" s="66" t="s">
        <v>228</v>
      </c>
      <c r="D31" s="67" t="s">
        <v>229</v>
      </c>
    </row>
    <row r="32" customFormat="false" ht="30" hidden="false" customHeight="true" outlineLevel="0" collapsed="false">
      <c r="B32" s="62" t="s">
        <v>230</v>
      </c>
      <c r="C32" s="63" t="s">
        <v>231</v>
      </c>
      <c r="D32" s="64" t="s">
        <v>232</v>
      </c>
    </row>
    <row r="33" customFormat="false" ht="30" hidden="false" customHeight="true" outlineLevel="0" collapsed="false">
      <c r="B33" s="65" t="s">
        <v>29</v>
      </c>
      <c r="C33" s="66" t="s">
        <v>233</v>
      </c>
      <c r="D33" s="67" t="s">
        <v>136</v>
      </c>
    </row>
    <row r="34" customFormat="false" ht="30" hidden="false" customHeight="true" outlineLevel="0" collapsed="false">
      <c r="B34" s="62" t="s">
        <v>234</v>
      </c>
      <c r="C34" s="63" t="s">
        <v>235</v>
      </c>
      <c r="D34" s="64" t="s">
        <v>236</v>
      </c>
    </row>
    <row r="35" customFormat="false" ht="30" hidden="false" customHeight="true" outlineLevel="0" collapsed="false">
      <c r="B35" s="65" t="s">
        <v>237</v>
      </c>
      <c r="C35" s="66" t="s">
        <v>238</v>
      </c>
      <c r="D35" s="67" t="s">
        <v>239</v>
      </c>
    </row>
    <row r="36" customFormat="false" ht="30" hidden="false" customHeight="true" outlineLevel="0" collapsed="false">
      <c r="B36" s="62" t="s">
        <v>240</v>
      </c>
      <c r="C36" s="63" t="s">
        <v>241</v>
      </c>
      <c r="D36" s="64" t="s">
        <v>242</v>
      </c>
    </row>
    <row r="37" customFormat="false" ht="30" hidden="false" customHeight="true" outlineLevel="0" collapsed="false">
      <c r="B37" s="65" t="s">
        <v>243</v>
      </c>
      <c r="C37" s="66" t="s">
        <v>244</v>
      </c>
      <c r="D37" s="67" t="s">
        <v>245</v>
      </c>
    </row>
    <row r="38" customFormat="false" ht="30" hidden="false" customHeight="true" outlineLevel="0" collapsed="false">
      <c r="B38" s="62" t="s">
        <v>246</v>
      </c>
      <c r="C38" s="63" t="s">
        <v>247</v>
      </c>
      <c r="D38" s="64" t="s">
        <v>248</v>
      </c>
    </row>
    <row r="39" customFormat="false" ht="6" hidden="false" customHeight="true" outlineLevel="0" collapsed="false"/>
    <row r="40" customFormat="false" ht="19.5" hidden="false" customHeight="true" outlineLevel="0" collapsed="false">
      <c r="B40" s="61" t="s">
        <v>249</v>
      </c>
      <c r="C40" s="61"/>
      <c r="D40" s="61"/>
    </row>
    <row r="41" customFormat="false" ht="13.5" hidden="false" customHeight="true" outlineLevel="0" collapsed="false">
      <c r="B41" s="32" t="s">
        <v>178</v>
      </c>
      <c r="C41" s="32" t="s">
        <v>179</v>
      </c>
      <c r="D41" s="32" t="s">
        <v>180</v>
      </c>
    </row>
    <row r="42" customFormat="false" ht="30" hidden="false" customHeight="true" outlineLevel="0" collapsed="false">
      <c r="B42" s="62" t="s">
        <v>250</v>
      </c>
      <c r="C42" s="63" t="s">
        <v>251</v>
      </c>
      <c r="D42" s="64" t="s">
        <v>252</v>
      </c>
    </row>
    <row r="43" customFormat="false" ht="30" hidden="false" customHeight="true" outlineLevel="0" collapsed="false">
      <c r="B43" s="65" t="s">
        <v>253</v>
      </c>
      <c r="C43" s="66" t="s">
        <v>254</v>
      </c>
      <c r="D43" s="67" t="s">
        <v>255</v>
      </c>
    </row>
    <row r="44" customFormat="false" ht="30" hidden="false" customHeight="true" outlineLevel="0" collapsed="false">
      <c r="B44" s="62" t="s">
        <v>256</v>
      </c>
      <c r="C44" s="63" t="s">
        <v>257</v>
      </c>
      <c r="D44" s="64" t="s">
        <v>258</v>
      </c>
    </row>
    <row r="45" customFormat="false" ht="30" hidden="false" customHeight="true" outlineLevel="0" collapsed="false">
      <c r="B45" s="65" t="s">
        <v>259</v>
      </c>
      <c r="C45" s="66" t="s">
        <v>260</v>
      </c>
      <c r="D45" s="67" t="s">
        <v>261</v>
      </c>
    </row>
    <row r="46" customFormat="false" ht="30" hidden="false" customHeight="true" outlineLevel="0" collapsed="false">
      <c r="B46" s="62" t="s">
        <v>262</v>
      </c>
      <c r="C46" s="63" t="s">
        <v>263</v>
      </c>
      <c r="D46" s="64" t="s">
        <v>264</v>
      </c>
    </row>
    <row r="47" customFormat="false" ht="6" hidden="false" customHeight="true" outlineLevel="0" collapsed="false"/>
  </sheetData>
  <mergeCells count="6">
    <mergeCell ref="B2:D2"/>
    <mergeCell ref="B3:D3"/>
    <mergeCell ref="B5:D5"/>
    <mergeCell ref="B16:D16"/>
    <mergeCell ref="B26:D26"/>
    <mergeCell ref="B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4"/>
    <col collapsed="false" customWidth="true" hidden="false" outlineLevel="0" max="7" min="6" style="0" width="22"/>
    <col collapsed="false" customWidth="true" hidden="false" outlineLevel="0" max="8" min="8" style="0" width="18"/>
    <col collapsed="false" customWidth="true" hidden="false" outlineLevel="0" max="9" min="9" style="0" width="2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1"/>
      <c r="B2" s="68" t="s">
        <v>265</v>
      </c>
      <c r="C2" s="68"/>
      <c r="D2" s="68"/>
      <c r="E2" s="68"/>
      <c r="F2" s="68"/>
      <c r="G2" s="68"/>
      <c r="H2" s="68"/>
      <c r="I2" s="1"/>
    </row>
    <row r="3" customFormat="false" ht="3.75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</row>
    <row r="5" customFormat="false" ht="18" hidden="false" customHeight="true" outlineLevel="0" collapsed="false">
      <c r="B5" s="61" t="s">
        <v>266</v>
      </c>
      <c r="C5" s="61"/>
      <c r="D5" s="61"/>
      <c r="E5" s="61"/>
      <c r="F5" s="61"/>
      <c r="G5" s="61"/>
      <c r="H5" s="61"/>
    </row>
    <row r="6" customFormat="false" ht="15.75" hidden="false" customHeight="true" outlineLevel="0" collapsed="false">
      <c r="B6" s="16" t="s">
        <v>267</v>
      </c>
      <c r="C6" s="69" t="s">
        <v>268</v>
      </c>
      <c r="D6" s="69"/>
      <c r="E6" s="15"/>
      <c r="F6" s="16" t="s">
        <v>269</v>
      </c>
      <c r="G6" s="69" t="s">
        <v>270</v>
      </c>
      <c r="H6" s="69"/>
    </row>
    <row r="7" customFormat="false" ht="15.75" hidden="false" customHeight="true" outlineLevel="0" collapsed="false">
      <c r="B7" s="16" t="s">
        <v>271</v>
      </c>
      <c r="C7" s="69" t="s">
        <v>270</v>
      </c>
      <c r="D7" s="69"/>
      <c r="E7" s="15"/>
      <c r="F7" s="16" t="s">
        <v>272</v>
      </c>
      <c r="G7" s="69" t="s">
        <v>270</v>
      </c>
      <c r="H7" s="69"/>
    </row>
    <row r="9" customFormat="false" ht="18" hidden="false" customHeight="true" outlineLevel="0" collapsed="false">
      <c r="B9" s="61" t="s">
        <v>10</v>
      </c>
      <c r="C9" s="61"/>
      <c r="D9" s="61"/>
      <c r="E9" s="61"/>
      <c r="F9" s="61"/>
      <c r="G9" s="61"/>
      <c r="H9" s="61"/>
    </row>
    <row r="10" customFormat="false" ht="15.75" hidden="false" customHeight="true" outlineLevel="0" collapsed="false">
      <c r="B10" s="16" t="s">
        <v>11</v>
      </c>
      <c r="C10" s="69" t="s">
        <v>273</v>
      </c>
      <c r="D10" s="69"/>
      <c r="E10" s="15"/>
      <c r="F10" s="16" t="s">
        <v>13</v>
      </c>
      <c r="G10" s="69" t="s">
        <v>274</v>
      </c>
      <c r="H10" s="69"/>
    </row>
    <row r="11" customFormat="false" ht="15.75" hidden="false" customHeight="true" outlineLevel="0" collapsed="false">
      <c r="B11" s="16" t="s">
        <v>15</v>
      </c>
      <c r="C11" s="69" t="s">
        <v>275</v>
      </c>
      <c r="D11" s="69"/>
      <c r="E11" s="15"/>
      <c r="F11" s="16" t="s">
        <v>17</v>
      </c>
      <c r="G11" s="69" t="s">
        <v>276</v>
      </c>
      <c r="H11" s="69"/>
    </row>
    <row r="12" customFormat="false" ht="15.75" hidden="false" customHeight="true" outlineLevel="0" collapsed="false">
      <c r="B12" s="16" t="s">
        <v>19</v>
      </c>
      <c r="C12" s="69" t="s">
        <v>270</v>
      </c>
      <c r="D12" s="69"/>
      <c r="E12" s="15"/>
      <c r="F12" s="16" t="s">
        <v>21</v>
      </c>
      <c r="G12" s="69" t="s">
        <v>277</v>
      </c>
      <c r="H12" s="69"/>
    </row>
    <row r="13" customFormat="false" ht="15.75" hidden="false" customHeight="true" outlineLevel="0" collapsed="false">
      <c r="B13" s="16" t="s">
        <v>23</v>
      </c>
      <c r="C13" s="69" t="s">
        <v>278</v>
      </c>
      <c r="D13" s="69"/>
      <c r="E13" s="15"/>
      <c r="F13" s="16" t="s">
        <v>25</v>
      </c>
      <c r="G13" s="69" t="s">
        <v>279</v>
      </c>
      <c r="H13" s="69"/>
    </row>
    <row r="14" customFormat="false" ht="15.75" hidden="false" customHeight="true" outlineLevel="0" collapsed="false">
      <c r="B14" s="16" t="s">
        <v>27</v>
      </c>
      <c r="C14" s="69" t="s">
        <v>280</v>
      </c>
      <c r="D14" s="69"/>
      <c r="E14" s="15"/>
      <c r="F14" s="16" t="s">
        <v>281</v>
      </c>
      <c r="G14" s="69" t="s">
        <v>282</v>
      </c>
      <c r="H14" s="69"/>
    </row>
    <row r="15" customFormat="false" ht="15.75" hidden="false" customHeight="true" outlineLevel="0" collapsed="false">
      <c r="B15" s="16" t="s">
        <v>31</v>
      </c>
      <c r="C15" s="69" t="s">
        <v>283</v>
      </c>
      <c r="D15" s="69"/>
      <c r="E15" s="15"/>
      <c r="F15" s="16" t="s">
        <v>284</v>
      </c>
      <c r="G15" s="69" t="s">
        <v>285</v>
      </c>
      <c r="H15" s="69"/>
    </row>
    <row r="16" customFormat="false" ht="15.75" hidden="false" customHeight="true" outlineLevel="0" collapsed="false">
      <c r="B16" s="16" t="s">
        <v>35</v>
      </c>
      <c r="C16" s="69" t="s">
        <v>286</v>
      </c>
      <c r="D16" s="69"/>
      <c r="E16" s="15"/>
      <c r="F16" s="16" t="s">
        <v>37</v>
      </c>
      <c r="G16" s="69" t="s">
        <v>287</v>
      </c>
      <c r="H16" s="69"/>
    </row>
    <row r="17" customFormat="false" ht="15.75" hidden="false" customHeight="true" outlineLevel="0" collapsed="false">
      <c r="B17" s="16" t="s">
        <v>39</v>
      </c>
      <c r="C17" s="69" t="s">
        <v>288</v>
      </c>
      <c r="D17" s="69"/>
      <c r="E17" s="15"/>
      <c r="F17" s="16" t="s">
        <v>41</v>
      </c>
      <c r="G17" s="69" t="s">
        <v>289</v>
      </c>
      <c r="H17" s="69"/>
    </row>
    <row r="19" customFormat="false" ht="18" hidden="false" customHeight="true" outlineLevel="0" collapsed="false">
      <c r="B19" s="18" t="s">
        <v>55</v>
      </c>
      <c r="C19" s="18"/>
      <c r="D19" s="18"/>
      <c r="E19" s="15"/>
      <c r="F19" s="18" t="s">
        <v>56</v>
      </c>
      <c r="G19" s="18"/>
      <c r="H19" s="18"/>
    </row>
    <row r="20" customFormat="false" ht="15.75" hidden="false" customHeight="true" outlineLevel="0" collapsed="false">
      <c r="B20" s="70" t="s">
        <v>60</v>
      </c>
      <c r="C20" s="71"/>
      <c r="D20" s="71"/>
      <c r="E20" s="15"/>
      <c r="F20" s="70" t="s">
        <v>290</v>
      </c>
      <c r="G20" s="71"/>
      <c r="H20" s="71"/>
    </row>
    <row r="21" customFormat="false" ht="15.75" hidden="false" customHeight="true" outlineLevel="0" collapsed="false">
      <c r="B21" s="72" t="s">
        <v>291</v>
      </c>
      <c r="C21" s="71"/>
      <c r="D21" s="71"/>
      <c r="E21" s="15"/>
      <c r="F21" s="72" t="s">
        <v>63</v>
      </c>
      <c r="G21" s="71"/>
      <c r="H21" s="71"/>
    </row>
    <row r="22" customFormat="false" ht="15.75" hidden="false" customHeight="true" outlineLevel="0" collapsed="false">
      <c r="B22" s="70" t="s">
        <v>292</v>
      </c>
      <c r="C22" s="71"/>
      <c r="D22" s="71"/>
      <c r="E22" s="15"/>
      <c r="F22" s="70" t="s">
        <v>293</v>
      </c>
      <c r="G22" s="71"/>
      <c r="H22" s="71"/>
    </row>
    <row r="23" customFormat="false" ht="15.75" hidden="false" customHeight="true" outlineLevel="0" collapsed="false">
      <c r="B23" s="72" t="s">
        <v>294</v>
      </c>
      <c r="C23" s="71"/>
      <c r="D23" s="71"/>
      <c r="E23" s="15"/>
      <c r="F23" s="72" t="s">
        <v>295</v>
      </c>
      <c r="G23" s="71"/>
      <c r="H23" s="71"/>
    </row>
    <row r="24" customFormat="false" ht="15.75" hidden="false" customHeight="true" outlineLevel="0" collapsed="false">
      <c r="B24" s="70" t="s">
        <v>296</v>
      </c>
      <c r="C24" s="71"/>
      <c r="D24" s="71"/>
      <c r="E24" s="15"/>
      <c r="F24" s="70" t="s">
        <v>69</v>
      </c>
      <c r="G24" s="71"/>
      <c r="H24" s="71"/>
    </row>
    <row r="25" customFormat="false" ht="15.75" hidden="false" customHeight="true" outlineLevel="0" collapsed="false">
      <c r="B25" s="72" t="s">
        <v>297</v>
      </c>
      <c r="C25" s="71"/>
      <c r="D25" s="71"/>
      <c r="E25" s="15"/>
      <c r="F25" s="72" t="s">
        <v>71</v>
      </c>
      <c r="G25" s="71"/>
      <c r="H25" s="71"/>
    </row>
    <row r="26" customFormat="false" ht="15.75" hidden="false" customHeight="true" outlineLevel="0" collapsed="false">
      <c r="B26" s="70" t="s">
        <v>298</v>
      </c>
      <c r="C26" s="71"/>
      <c r="D26" s="71"/>
      <c r="E26" s="15"/>
      <c r="F26" s="70" t="s">
        <v>75</v>
      </c>
      <c r="G26" s="71"/>
      <c r="H26" s="71"/>
    </row>
    <row r="27" customFormat="false" ht="15.75" hidden="false" customHeight="true" outlineLevel="0" collapsed="false">
      <c r="B27" s="72" t="s">
        <v>74</v>
      </c>
      <c r="C27" s="71"/>
      <c r="D27" s="71"/>
      <c r="E27" s="15"/>
      <c r="F27" s="72" t="s">
        <v>299</v>
      </c>
      <c r="G27" s="71"/>
      <c r="H27" s="71"/>
    </row>
    <row r="28" customFormat="false" ht="15.75" hidden="false" customHeight="true" outlineLevel="0" collapsed="false">
      <c r="B28" s="70" t="s">
        <v>300</v>
      </c>
      <c r="C28" s="71"/>
      <c r="D28" s="71"/>
      <c r="E28" s="15"/>
      <c r="F28" s="70" t="s">
        <v>77</v>
      </c>
      <c r="G28" s="71"/>
      <c r="H28" s="71"/>
    </row>
    <row r="29" customFormat="false" ht="15.75" hidden="false" customHeight="true" outlineLevel="0" collapsed="false">
      <c r="B29" s="72" t="s">
        <v>301</v>
      </c>
      <c r="C29" s="71"/>
      <c r="D29" s="71"/>
      <c r="E29" s="15"/>
      <c r="F29" s="14"/>
      <c r="G29" s="71"/>
      <c r="H29" s="71"/>
    </row>
    <row r="30" customFormat="false" ht="19.5" hidden="false" customHeight="true" outlineLevel="0" collapsed="false">
      <c r="B30" s="25" t="s">
        <v>78</v>
      </c>
      <c r="C30" s="26" t="n">
        <f aca="false">C20+C21+C22+C23+C24+C25+C26+C27+C28</f>
        <v>0</v>
      </c>
      <c r="D30" s="73"/>
      <c r="E30" s="15"/>
      <c r="F30" s="25" t="s">
        <v>79</v>
      </c>
      <c r="G30" s="26" t="n">
        <f aca="false">G20+G21+G22+G23+G24+G25+G26+G27+G28</f>
        <v>0</v>
      </c>
      <c r="H30" s="73"/>
    </row>
    <row r="31" customFormat="false" ht="27.75" hidden="false" customHeight="true" outlineLevel="0" collapsed="false">
      <c r="B31" s="27" t="s">
        <v>80</v>
      </c>
      <c r="C31" s="27"/>
      <c r="D31" s="27"/>
      <c r="E31" s="15"/>
      <c r="F31" s="28" t="n">
        <f aca="false">C30-G30</f>
        <v>0</v>
      </c>
      <c r="G31" s="28"/>
      <c r="H31" s="74" t="s">
        <v>81</v>
      </c>
    </row>
    <row r="32" customFormat="false" ht="15.75" hidden="false" customHeight="true" outlineLevel="0" collapsed="false">
      <c r="B32" s="30" t="s">
        <v>302</v>
      </c>
      <c r="C32" s="30"/>
      <c r="D32" s="30"/>
      <c r="E32" s="30"/>
      <c r="F32" s="30"/>
      <c r="G32" s="30"/>
      <c r="H32" s="30"/>
    </row>
    <row r="34" customFormat="false" ht="18" hidden="false" customHeight="true" outlineLevel="0" collapsed="false">
      <c r="B34" s="42" t="s">
        <v>303</v>
      </c>
      <c r="C34" s="42"/>
      <c r="D34" s="42"/>
      <c r="E34" s="42"/>
      <c r="F34" s="42"/>
      <c r="G34" s="42"/>
      <c r="H34" s="42"/>
    </row>
    <row r="35" customFormat="false" ht="15" hidden="false" customHeight="true" outlineLevel="0" collapsed="false">
      <c r="B35" s="48" t="s">
        <v>304</v>
      </c>
      <c r="C35" s="48"/>
      <c r="D35" s="48"/>
      <c r="E35" s="48"/>
      <c r="F35" s="48"/>
      <c r="G35" s="48"/>
      <c r="H35" s="48"/>
    </row>
    <row r="36" customFormat="false" ht="15" hidden="false" customHeight="true" outlineLevel="0" collapsed="false">
      <c r="B36" s="51" t="s">
        <v>305</v>
      </c>
      <c r="C36" s="51"/>
      <c r="D36" s="51"/>
      <c r="E36" s="51"/>
      <c r="F36" s="51"/>
      <c r="G36" s="51"/>
      <c r="H36" s="51"/>
    </row>
    <row r="37" customFormat="false" ht="15" hidden="false" customHeight="true" outlineLevel="0" collapsed="false">
      <c r="B37" s="48" t="s">
        <v>306</v>
      </c>
      <c r="C37" s="48"/>
      <c r="D37" s="48"/>
      <c r="E37" s="48"/>
      <c r="F37" s="48"/>
      <c r="G37" s="48"/>
      <c r="H37" s="48"/>
    </row>
    <row r="38" customFormat="false" ht="15" hidden="false" customHeight="true" outlineLevel="0" collapsed="false">
      <c r="B38" s="51" t="s">
        <v>307</v>
      </c>
      <c r="C38" s="51"/>
      <c r="D38" s="51"/>
      <c r="E38" s="51"/>
      <c r="F38" s="51"/>
      <c r="G38" s="51"/>
      <c r="H38" s="51"/>
    </row>
    <row r="39" customFormat="false" ht="15" hidden="false" customHeight="true" outlineLevel="0" collapsed="false">
      <c r="B39" s="48" t="s">
        <v>308</v>
      </c>
      <c r="C39" s="48"/>
      <c r="D39" s="48"/>
      <c r="E39" s="48"/>
      <c r="F39" s="48"/>
      <c r="G39" s="48"/>
      <c r="H39" s="48"/>
    </row>
    <row r="40" customFormat="false" ht="15" hidden="false" customHeight="true" outlineLevel="0" collapsed="false">
      <c r="B40" s="51" t="s">
        <v>309</v>
      </c>
      <c r="C40" s="51"/>
      <c r="D40" s="51"/>
      <c r="E40" s="51"/>
      <c r="F40" s="51"/>
      <c r="G40" s="51"/>
      <c r="H40" s="51"/>
    </row>
    <row r="41" customFormat="false" ht="15" hidden="false" customHeight="true" outlineLevel="0" collapsed="false">
      <c r="B41" s="48" t="s">
        <v>310</v>
      </c>
      <c r="C41" s="48"/>
      <c r="D41" s="48"/>
      <c r="E41" s="48"/>
      <c r="F41" s="48"/>
      <c r="G41" s="48"/>
      <c r="H41" s="48"/>
    </row>
    <row r="42" customFormat="false" ht="15" hidden="false" customHeight="true" outlineLevel="0" collapsed="false">
      <c r="B42" s="51" t="s">
        <v>311</v>
      </c>
      <c r="C42" s="51"/>
      <c r="D42" s="51"/>
      <c r="E42" s="51"/>
      <c r="F42" s="51"/>
      <c r="G42" s="51"/>
      <c r="H42" s="51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</row>
  </sheetData>
  <mergeCells count="37">
    <mergeCell ref="B2:H2"/>
    <mergeCell ref="B5:H5"/>
    <mergeCell ref="C6:D6"/>
    <mergeCell ref="G6:H6"/>
    <mergeCell ref="C7:D7"/>
    <mergeCell ref="G7:H7"/>
    <mergeCell ref="B9:H9"/>
    <mergeCell ref="C10:D10"/>
    <mergeCell ref="G10:H10"/>
    <mergeCell ref="C11:D11"/>
    <mergeCell ref="G11:H11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G16:H16"/>
    <mergeCell ref="C17:D17"/>
    <mergeCell ref="G17:H17"/>
    <mergeCell ref="B19:D19"/>
    <mergeCell ref="F19:H19"/>
    <mergeCell ref="B31:D31"/>
    <mergeCell ref="F31:G31"/>
    <mergeCell ref="B32:H32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2026-05-16T18:27:03Z</dcterms:created>
  <dc:creator>openpyxl</dc:creator>
  <dc:description/>
  <dc:language>en-US</dc:language>
  <cp:lastModifiedBy/>
  <dcterms:modified xsi:type="dcterms:W3CDTF">2026-05-16T18:27:04Z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